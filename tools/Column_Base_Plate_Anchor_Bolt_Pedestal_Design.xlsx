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drawings/drawing2.xml" ContentType="application/vnd.openxmlformats-officedocument.drawing+xml"/>
  <Override PartName="/xl/comments/comment3.xml" ContentType="application/vnd.openxmlformats-officedocument.spreadsheetml.comments+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Override PartName="/xl/drawings/drawing_orig.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F496" lockStructure="1"/>
  <bookViews>
    <workbookView visibility="visible" minimized="0" showHorizontalScroll="1" showVerticalScroll="1" showSheetTabs="1" xWindow="0" yWindow="0" windowWidth="28800" windowHeight="12435" tabRatio="600" firstSheet="0" activeTab="0" autoFilterDateGrouping="1"/>
  </bookViews>
  <sheets>
    <sheet xmlns:r="http://schemas.openxmlformats.org/officeDocument/2006/relationships" name="1-Base Plate" sheetId="1" state="visible" r:id="rId1"/>
    <sheet xmlns:r="http://schemas.openxmlformats.org/officeDocument/2006/relationships" name="2-Anchor Bolt" sheetId="2" state="visible" r:id="rId2"/>
    <sheet xmlns:r="http://schemas.openxmlformats.org/officeDocument/2006/relationships" name="3-Pedestal" sheetId="3" state="visible" r:id="rId3"/>
    <sheet xmlns:r="http://schemas.openxmlformats.org/officeDocument/2006/relationships" name="Notes" sheetId="4" state="visible" r:id="rId4"/>
  </sheets>
  <definedNames>
    <definedName name="_xlnm.Print_Area" localSheetId="0">'1-Base Plate'!$A$1:$I$104</definedName>
    <definedName name="_xlnm.Print_Area" localSheetId="1">'2-Anchor Bolt'!$A$1:$I$54</definedName>
    <definedName name="_xlnm.Print_Area" localSheetId="2">'3-Pedestal'!$A$1:$I$93</definedName>
    <definedName name="_xlnm.Print_Area" localSheetId="3">'Notes'!$A$1:$A$60</definedName>
  </definedNames>
  <calcPr calcId="162913" fullCalcOnLoad="1"/>
</workbook>
</file>

<file path=xl/styles.xml><?xml version="1.0" encoding="utf-8"?>
<styleSheet xmlns="http://schemas.openxmlformats.org/spreadsheetml/2006/main">
  <numFmts count="6">
    <numFmt numFmtId="164" formatCode="0.0000"/>
    <numFmt numFmtId="165" formatCode="0.0"/>
    <numFmt numFmtId="166" formatCode="0.0#"/>
    <numFmt numFmtId="167" formatCode="0.000"/>
    <numFmt numFmtId="168" formatCode="0.00000"/>
    <numFmt numFmtId="169" formatCode="0.0000000"/>
  </numFmts>
  <fonts count="39">
    <font>
      <name val="Calibri"/>
      <family val="2"/>
      <color theme="1"/>
      <sz val="11"/>
      <scheme val="minor"/>
    </font>
    <font>
      <name val="Arial"/>
      <family val="2"/>
      <color indexed="12"/>
      <sz val="10"/>
    </font>
    <font>
      <name val="Arial"/>
      <family val="2"/>
      <b val="1"/>
      <sz val="10"/>
    </font>
    <font>
      <name val="Arial"/>
      <family val="2"/>
      <b val="1"/>
      <sz val="12"/>
    </font>
    <font>
      <name val="Arial"/>
      <family val="2"/>
      <sz val="12"/>
    </font>
    <font>
      <name val="Arial"/>
      <family val="2"/>
      <color indexed="12"/>
      <sz val="8"/>
    </font>
    <font>
      <name val="Arial"/>
      <family val="2"/>
      <b val="1"/>
      <color indexed="12"/>
      <sz val="9"/>
    </font>
    <font>
      <name val="Calibri"/>
      <family val="2"/>
      <b val="1"/>
      <color theme="1"/>
      <sz val="14"/>
      <scheme val="minor"/>
    </font>
    <font>
      <name val="Tahoma"/>
      <family val="2"/>
      <b val="1"/>
      <color indexed="81"/>
      <sz val="9"/>
    </font>
    <font>
      <name val="Arial"/>
      <family val="2"/>
      <sz val="10"/>
    </font>
    <font>
      <name val="Calibri"/>
      <family val="2"/>
      <color theme="1"/>
      <sz val="11"/>
      <u val="single"/>
      <scheme val="minor"/>
    </font>
    <font>
      <name val="Arial"/>
      <family val="2"/>
      <sz val="10"/>
      <u val="single"/>
    </font>
    <font>
      <name val="Calibri"/>
      <family val="2"/>
      <sz val="11"/>
      <u val="single"/>
    </font>
    <font>
      <name val="Calibri"/>
      <family val="2"/>
      <sz val="11"/>
    </font>
    <font>
      <name val="Calibri"/>
      <family val="2"/>
      <b val="1"/>
      <color theme="1"/>
      <sz val="12"/>
      <u val="single"/>
      <scheme val="minor"/>
    </font>
    <font>
      <name val="Calibri"/>
      <family val="2"/>
      <color theme="1"/>
      <sz val="10"/>
      <scheme val="minor"/>
    </font>
    <font>
      <name val="Calibri"/>
      <family val="2"/>
      <sz val="10"/>
    </font>
    <font>
      <name val="Calibri"/>
      <family val="2"/>
      <color rgb="FF00B050"/>
      <sz val="11"/>
      <scheme val="minor"/>
    </font>
    <font>
      <name val="Arial"/>
      <family val="2"/>
      <color rgb="FFFF0000"/>
      <sz val="12"/>
    </font>
    <font>
      <name val="Arial"/>
      <family val="2"/>
      <color theme="10"/>
      <sz val="10"/>
      <u val="single"/>
    </font>
    <font>
      <name val="Arial"/>
      <family val="2"/>
      <color theme="10"/>
      <sz val="10"/>
    </font>
    <font>
      <name val="Calibri"/>
      <family val="2"/>
      <color rgb="FFFF0000"/>
      <sz val="11"/>
      <scheme val="minor"/>
    </font>
    <font>
      <name val="Calibri"/>
      <family val="2"/>
      <color rgb="FFFF0000"/>
      <sz val="10"/>
      <scheme val="minor"/>
    </font>
    <font>
      <name val="Calibri"/>
      <family val="2"/>
      <b val="1"/>
      <color theme="1"/>
      <sz val="12"/>
      <scheme val="minor"/>
    </font>
    <font>
      <name val="Calibri"/>
      <family val="2"/>
      <b val="1"/>
      <color theme="1"/>
      <sz val="8"/>
      <scheme val="minor"/>
    </font>
    <font>
      <name val="Arial"/>
      <family val="2"/>
      <sz val="9"/>
      <u val="single"/>
    </font>
    <font>
      <name val="Calibri"/>
      <family val="2"/>
      <color rgb="FFFF0000"/>
      <sz val="12"/>
      <u val="single"/>
      <scheme val="minor"/>
    </font>
    <font>
      <name val="Arial"/>
      <b val="1"/>
      <sz val="10"/>
    </font>
    <font>
      <name val="Calibri"/>
      <i val="1"/>
      <color rgb="FF7F7F7F"/>
      <sz val="9"/>
    </font>
    <font>
      <name val="Calibri"/>
      <b val="1"/>
      <color rgb="FF595959"/>
      <sz val="9"/>
    </font>
    <font>
      <name val="Calibri"/>
      <color rgb="FF595959"/>
      <sz val="9"/>
    </font>
    <font>
      <name val="Calibri"/>
      <b val="1"/>
      <sz val="11"/>
    </font>
    <font>
      <name val="Calibri"/>
      <b val="1"/>
      <sz val="10"/>
    </font>
    <font>
      <name val="Arial"/>
      <i val="1"/>
      <color rgb="FF7F7F7F"/>
      <sz val="8"/>
    </font>
    <font>
      <name val="Calibri"/>
      <color rgb="FFFF0000"/>
      <sz val="11"/>
    </font>
    <font>
      <name val="Arial"/>
      <b val="1"/>
      <sz val="13"/>
    </font>
    <font>
      <name val="Arial"/>
      <color rgb="FF0563C1"/>
      <sz val="10"/>
      <u val="single"/>
    </font>
    <font>
      <name val="Arial"/>
      <sz val="10"/>
    </font>
    <font>
      <name val="Arial"/>
      <b val="1"/>
      <sz val="11"/>
      <u val="single"/>
    </font>
  </fonts>
  <fills count="9">
    <fill>
      <patternFill/>
    </fill>
    <fill>
      <patternFill patternType="gray125"/>
    </fill>
    <fill>
      <patternFill patternType="solid">
        <fgColor indexed="22"/>
        <bgColor indexed="64"/>
      </patternFill>
    </fill>
    <fill>
      <patternFill patternType="solid">
        <fgColor theme="0"/>
        <bgColor indexed="64"/>
      </patternFill>
    </fill>
    <fill>
      <patternFill patternType="solid">
        <fgColor theme="0" tint="-0.1499984740745262"/>
        <bgColor indexed="64"/>
      </patternFill>
    </fill>
    <fill>
      <patternFill patternType="solid">
        <fgColor rgb="FF92D050"/>
        <bgColor indexed="64"/>
      </patternFill>
    </fill>
    <fill>
      <patternFill patternType="solid">
        <fgColor rgb="FFFFFF00"/>
        <bgColor indexed="64"/>
      </patternFill>
    </fill>
    <fill>
      <patternFill patternType="solid">
        <fgColor rgb="FFF2F2F2"/>
      </patternFill>
    </fill>
    <fill>
      <patternFill patternType="solid">
        <fgColor rgb="FFE2EFDA"/>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rder>
    <border>
      <left/>
      <right/>
      <top/>
    </border>
    <border>
      <left/>
      <right style="medium">
        <color indexed="64"/>
      </right>
      <top/>
    </border>
    <border>
      <left style="medium"/>
      <bottom style="medium"/>
    </border>
    <border>
      <bottom style="medium"/>
    </border>
    <border>
      <right style="medium"/>
      <bottom style="medium"/>
    </border>
    <border>
      <left style="medium"/>
      <right/>
      <bottom style="medium"/>
    </border>
    <border>
      <left/>
      <right/>
      <top/>
      <bottom style="medium"/>
      <diagonal/>
    </border>
    <border>
      <left style="medium">
        <color indexed="64"/>
      </left>
      <right/>
      <top/>
      <bottom/>
    </border>
    <border>
      <left/>
      <right style="medium">
        <color indexed="64"/>
      </right>
      <top/>
      <bottom/>
    </border>
    <border>
      <left style="thin"/>
      <right style="thin"/>
      <top style="thin"/>
      <bottom style="thin"/>
    </border>
    <border>
      <left style="thin"/>
      <top style="thin"/>
      <bottom style="thin"/>
    </border>
    <border>
      <top style="thin"/>
      <bottom style="thin"/>
    </border>
    <border>
      <right style="thin"/>
      <top style="thin"/>
      <bottom style="thin"/>
    </border>
  </borders>
  <cellStyleXfs count="2">
    <xf numFmtId="0" fontId="0" fillId="0" borderId="0"/>
    <xf numFmtId="0" fontId="19" fillId="0" borderId="0"/>
  </cellStyleXfs>
  <cellXfs count="165">
    <xf numFmtId="0" fontId="0" fillId="0" borderId="0" pivotButton="0" quotePrefix="0" xfId="0"/>
    <xf numFmtId="0" fontId="1" fillId="3" borderId="2" applyAlignment="1" applyProtection="1" pivotButton="0" quotePrefix="0" xfId="0">
      <alignment horizontal="center"/>
      <protection locked="0" hidden="0"/>
    </xf>
    <xf numFmtId="0" fontId="1" fillId="3" borderId="1" applyAlignment="1" applyProtection="1" pivotButton="0" quotePrefix="0" xfId="0">
      <alignment horizontal="center"/>
      <protection locked="0" hidden="0"/>
    </xf>
    <xf numFmtId="0" fontId="1" fillId="3" borderId="3" applyAlignment="1" applyProtection="1" pivotButton="0" quotePrefix="0" xfId="0">
      <alignment horizontal="center"/>
      <protection locked="0" hidden="0"/>
    </xf>
    <xf numFmtId="0" fontId="0" fillId="0" borderId="0" pivotButton="0" quotePrefix="0" xfId="0"/>
    <xf numFmtId="0" fontId="5" fillId="0" borderId="5" applyAlignment="1" pivotButton="0" quotePrefix="0" xfId="0">
      <alignment horizontal="center"/>
    </xf>
    <xf numFmtId="0" fontId="5" fillId="0" borderId="6" applyAlignment="1" pivotButton="0" quotePrefix="0" xfId="0">
      <alignment horizontal="center"/>
    </xf>
    <xf numFmtId="14" fontId="5" fillId="0" borderId="7" applyAlignment="1" pivotButton="0" quotePrefix="0" xfId="0">
      <alignment horizontal="center"/>
    </xf>
    <xf numFmtId="0" fontId="5" fillId="0" borderId="8" applyAlignment="1" pivotButton="0" quotePrefix="0" xfId="0">
      <alignment horizontal="center"/>
    </xf>
    <xf numFmtId="0" fontId="5" fillId="3" borderId="0" applyAlignment="1" pivotButton="0" quotePrefix="0" xfId="0">
      <alignment horizontal="right"/>
    </xf>
    <xf numFmtId="0" fontId="0" fillId="3" borderId="0" pivotButton="0" quotePrefix="0" xfId="0"/>
    <xf numFmtId="0" fontId="2" fillId="3" borderId="0" applyAlignment="1" pivotButton="0" quotePrefix="0" xfId="0">
      <alignment horizontal="center"/>
    </xf>
    <xf numFmtId="0" fontId="0" fillId="0" borderId="0" pivotButton="0" quotePrefix="0" xfId="0"/>
    <xf numFmtId="0" fontId="0" fillId="3" borderId="0" pivotButton="0" quotePrefix="0" xfId="0"/>
    <xf numFmtId="0" fontId="10" fillId="3" borderId="0" applyAlignment="1" pivotButton="0" quotePrefix="0" xfId="0">
      <alignment horizontal="center"/>
    </xf>
    <xf numFmtId="0" fontId="0" fillId="0" borderId="0" pivotButton="0" quotePrefix="0" xfId="0"/>
    <xf numFmtId="0" fontId="0" fillId="0" borderId="0" pivotButton="0" quotePrefix="0" xfId="0"/>
    <xf numFmtId="0" fontId="9" fillId="3" borderId="0" applyAlignment="1" pivotButton="0" quotePrefix="0" xfId="0">
      <alignment horizontal="center"/>
    </xf>
    <xf numFmtId="2" fontId="0" fillId="3" borderId="0" pivotButton="0" quotePrefix="0" xfId="0"/>
    <xf numFmtId="0" fontId="9" fillId="3" borderId="1" applyAlignment="1" pivotButton="0" quotePrefix="0" xfId="0">
      <alignment horizontal="center"/>
    </xf>
    <xf numFmtId="2" fontId="15" fillId="3" borderId="0" applyAlignment="1" pivotButton="0" quotePrefix="0" xfId="0">
      <alignment horizontal="center"/>
    </xf>
    <xf numFmtId="2" fontId="15" fillId="3" borderId="0" pivotButton="0" quotePrefix="0" xfId="0"/>
    <xf numFmtId="0" fontId="0" fillId="5" borderId="0" applyAlignment="1" pivotButton="0" quotePrefix="0" xfId="0">
      <alignment horizontal="center"/>
    </xf>
    <xf numFmtId="0" fontId="13" fillId="5" borderId="0" applyAlignment="1" pivotButton="0" quotePrefix="0" xfId="0">
      <alignment horizontal="center"/>
    </xf>
    <xf numFmtId="164" fontId="0" fillId="3" borderId="0" pivotButton="0" quotePrefix="0" xfId="0"/>
    <xf numFmtId="0" fontId="14" fillId="4" borderId="0" pivotButton="0" quotePrefix="0" xfId="0"/>
    <xf numFmtId="0" fontId="14" fillId="3" borderId="0" pivotButton="0" quotePrefix="0" xfId="0"/>
    <xf numFmtId="0" fontId="0" fillId="3" borderId="0" applyAlignment="1" pivotButton="0" quotePrefix="0" xfId="0">
      <alignment horizontal="center"/>
    </xf>
    <xf numFmtId="2" fontId="15" fillId="3" borderId="0" applyAlignment="1" pivotButton="0" quotePrefix="0" xfId="0">
      <alignment horizontal="center"/>
    </xf>
    <xf numFmtId="0" fontId="0" fillId="3" borderId="0" pivotButton="0" quotePrefix="0" xfId="0"/>
    <xf numFmtId="0" fontId="16" fillId="3" borderId="0" pivotButton="0" quotePrefix="0" xfId="0"/>
    <xf numFmtId="0" fontId="17" fillId="3" borderId="0" applyAlignment="1" pivotButton="0" quotePrefix="0" xfId="0">
      <alignment horizontal="center"/>
    </xf>
    <xf numFmtId="0" fontId="15" fillId="3" borderId="0" pivotButton="0" quotePrefix="0" xfId="0"/>
    <xf numFmtId="0" fontId="7" fillId="3" borderId="0" pivotButton="0" quotePrefix="0" xfId="0"/>
    <xf numFmtId="0" fontId="0" fillId="3" borderId="0" applyAlignment="1" pivotButton="0" quotePrefix="0" xfId="0">
      <alignment textRotation="90"/>
    </xf>
    <xf numFmtId="0" fontId="24" fillId="3" borderId="0" applyAlignment="1" pivotButton="0" quotePrefix="0" xfId="0">
      <alignment horizontal="right" vertical="center"/>
    </xf>
    <xf numFmtId="0" fontId="0" fillId="3" borderId="0" applyAlignment="1" pivotButton="0" quotePrefix="0" xfId="0">
      <alignment horizontal="center"/>
    </xf>
    <xf numFmtId="0" fontId="0" fillId="0" borderId="0" applyAlignment="1" pivotButton="0" quotePrefix="0" xfId="0">
      <alignment horizontal="right" vertical="center"/>
    </xf>
    <xf numFmtId="0" fontId="0" fillId="0" borderId="0" applyAlignment="1" pivotButton="0" quotePrefix="0" xfId="0">
      <alignment horizontal="left" vertical="center"/>
    </xf>
    <xf numFmtId="0" fontId="0" fillId="0" borderId="0" applyAlignment="1" pivotButton="0" quotePrefix="0" xfId="0">
      <alignment horizontal="left" vertical="center"/>
    </xf>
    <xf numFmtId="0" fontId="0" fillId="3" borderId="0" applyAlignment="1" pivotButton="0" quotePrefix="0" xfId="0">
      <alignment horizontal="center"/>
    </xf>
    <xf numFmtId="0" fontId="0" fillId="3" borderId="0" applyAlignment="1" pivotButton="0" quotePrefix="0" xfId="0">
      <alignment horizontal="center"/>
    </xf>
    <xf numFmtId="0" fontId="25" fillId="3" borderId="0" applyAlignment="1" pivotButton="0" quotePrefix="0" xfId="0">
      <alignment horizontal="center"/>
    </xf>
    <xf numFmtId="0" fontId="18" fillId="3" borderId="1" applyAlignment="1" pivotButton="0" quotePrefix="0" xfId="0">
      <alignment horizontal="center" vertical="center"/>
    </xf>
    <xf numFmtId="0" fontId="0" fillId="3" borderId="0" applyAlignment="1" pivotButton="0" quotePrefix="0" xfId="0">
      <alignment horizontal="center"/>
    </xf>
    <xf numFmtId="0" fontId="15" fillId="4" borderId="12" applyAlignment="1" pivotButton="0" quotePrefix="0" xfId="0">
      <alignment horizontal="center"/>
    </xf>
    <xf numFmtId="0" fontId="15" fillId="4" borderId="14" applyAlignment="1" pivotButton="0" quotePrefix="0" xfId="0">
      <alignment horizontal="center"/>
    </xf>
    <xf numFmtId="0" fontId="15" fillId="4" borderId="13" applyAlignment="1" pivotButton="0" quotePrefix="0" xfId="0">
      <alignment horizontal="center"/>
    </xf>
    <xf numFmtId="0" fontId="0" fillId="3" borderId="0" applyAlignment="1" pivotButton="0" quotePrefix="0" xfId="0">
      <alignment horizontal="center"/>
    </xf>
    <xf numFmtId="0" fontId="11" fillId="3" borderId="0" applyAlignment="1" pivotButton="0" quotePrefix="0" xfId="0">
      <alignment horizontal="right"/>
    </xf>
    <xf numFmtId="2" fontId="0" fillId="3" borderId="0" applyAlignment="1" pivotButton="0" quotePrefix="0" xfId="0">
      <alignment horizontal="center"/>
    </xf>
    <xf numFmtId="2" fontId="0" fillId="3" borderId="4" applyAlignment="1" pivotButton="0" quotePrefix="0" xfId="0">
      <alignment horizontal="center"/>
    </xf>
    <xf numFmtId="0" fontId="12" fillId="3" borderId="0" applyAlignment="1" pivotButton="0" quotePrefix="0" xfId="0">
      <alignment horizontal="center"/>
    </xf>
    <xf numFmtId="0" fontId="12" fillId="3" borderId="0" applyAlignment="1" pivotButton="0" quotePrefix="0" xfId="0">
      <alignment horizontal="center"/>
    </xf>
    <xf numFmtId="0" fontId="26" fillId="3" borderId="0" applyAlignment="1" pivotButton="0" quotePrefix="0" xfId="0">
      <alignment horizontal="center"/>
    </xf>
    <xf numFmtId="0" fontId="23" fillId="3" borderId="0" applyAlignment="1" pivotButton="0" quotePrefix="0" xfId="0">
      <alignment horizontal="center"/>
    </xf>
    <xf numFmtId="0" fontId="22" fillId="3" borderId="0" applyAlignment="1" pivotButton="0" quotePrefix="0" xfId="0">
      <alignment horizontal="center"/>
    </xf>
    <xf numFmtId="165" fontId="7" fillId="3" borderId="0" applyAlignment="1" pivotButton="0" quotePrefix="0" xfId="0">
      <alignment horizontal="right" textRotation="90"/>
    </xf>
    <xf numFmtId="0" fontId="15" fillId="3" borderId="0" applyAlignment="1" pivotButton="0" quotePrefix="0" xfId="0">
      <alignment horizontal="left"/>
    </xf>
    <xf numFmtId="0" fontId="7" fillId="3" borderId="0" applyAlignment="1" pivotButton="0" quotePrefix="0" xfId="0">
      <alignment horizontal="center" vertical="center" textRotation="90"/>
    </xf>
    <xf numFmtId="0" fontId="11" fillId="3" borderId="0" applyAlignment="1" pivotButton="0" quotePrefix="0" xfId="0">
      <alignment horizontal="center"/>
    </xf>
    <xf numFmtId="0" fontId="9" fillId="3" borderId="0" applyAlignment="1" pivotButton="0" quotePrefix="0" xfId="0">
      <alignment horizontal="center"/>
    </xf>
    <xf numFmtId="0" fontId="16" fillId="3" borderId="0" applyAlignment="1" pivotButton="0" quotePrefix="0" xfId="0">
      <alignment horizontal="center"/>
    </xf>
    <xf numFmtId="0" fontId="16" fillId="3" borderId="4" applyAlignment="1" pivotButton="0" quotePrefix="0" xfId="0">
      <alignment horizontal="center"/>
    </xf>
    <xf numFmtId="0" fontId="21" fillId="3" borderId="0" applyAlignment="1" pivotButton="0" quotePrefix="0" xfId="0">
      <alignment horizontal="center"/>
    </xf>
    <xf numFmtId="0" fontId="21" fillId="3" borderId="0" applyAlignment="1" pivotButton="0" quotePrefix="0" xfId="0">
      <alignment horizontal="center"/>
    </xf>
    <xf numFmtId="0" fontId="7" fillId="3" borderId="0" applyAlignment="1" pivotButton="0" quotePrefix="0" xfId="0">
      <alignment horizontal="center" vertical="top"/>
    </xf>
    <xf numFmtId="0" fontId="3" fillId="2" borderId="0" applyAlignment="1" pivotButton="0" quotePrefix="0" xfId="0">
      <alignment horizontal="center" shrinkToFit="1"/>
    </xf>
    <xf numFmtId="0" fontId="4" fillId="0" borderId="0" applyAlignment="1" pivotButton="0" quotePrefix="0" xfId="0">
      <alignment shrinkToFit="1"/>
    </xf>
    <xf numFmtId="0" fontId="4" fillId="0" borderId="0" pivotButton="0" quotePrefix="0" xfId="0"/>
    <xf numFmtId="0" fontId="6" fillId="3" borderId="0" applyAlignment="1" pivotButton="0" quotePrefix="0" xfId="0">
      <alignment horizontal="center"/>
    </xf>
    <xf numFmtId="0" fontId="2" fillId="6" borderId="0" applyAlignment="1" pivotButton="0" quotePrefix="0" xfId="0">
      <alignment horizontal="center"/>
    </xf>
    <xf numFmtId="0" fontId="2" fillId="3" borderId="0" applyAlignment="1" pivotButton="0" quotePrefix="0" xfId="0">
      <alignment horizontal="center"/>
    </xf>
    <xf numFmtId="0" fontId="6" fillId="0" borderId="6" applyAlignment="1" pivotButton="0" quotePrefix="0" xfId="0">
      <alignment horizontal="center"/>
    </xf>
    <xf numFmtId="0" fontId="5" fillId="0" borderId="6" applyAlignment="1" pivotButton="0" quotePrefix="0" xfId="0">
      <alignment horizontal="center"/>
    </xf>
    <xf numFmtId="0" fontId="6" fillId="0" borderId="0" applyAlignment="1" pivotButton="0" quotePrefix="0" xfId="0">
      <alignment horizontal="center"/>
    </xf>
    <xf numFmtId="0" fontId="20" fillId="0" borderId="0" applyAlignment="1" applyProtection="1" pivotButton="0" quotePrefix="0" xfId="1">
      <alignment horizontal="center"/>
      <protection locked="0" hidden="0"/>
    </xf>
    <xf numFmtId="0" fontId="20" fillId="0" borderId="4" applyAlignment="1" applyProtection="1" pivotButton="0" quotePrefix="0" xfId="1">
      <alignment horizontal="center"/>
      <protection locked="0" hidden="0"/>
    </xf>
    <xf numFmtId="0" fontId="20" fillId="0" borderId="9" applyAlignment="1" applyProtection="1" pivotButton="0" quotePrefix="0" xfId="1">
      <alignment horizontal="center"/>
      <protection locked="0" hidden="0"/>
    </xf>
    <xf numFmtId="0" fontId="20" fillId="0" borderId="10" applyAlignment="1" applyProtection="1" pivotButton="0" quotePrefix="0" xfId="1">
      <alignment horizontal="center"/>
      <protection locked="0" hidden="0"/>
    </xf>
    <xf numFmtId="0" fontId="20" fillId="0" borderId="11" applyAlignment="1" applyProtection="1" pivotButton="0" quotePrefix="0" xfId="1">
      <alignment horizontal="center"/>
      <protection locked="0" hidden="0"/>
    </xf>
    <xf numFmtId="0" fontId="0" fillId="0" borderId="6" pivotButton="0" quotePrefix="0" xfId="0"/>
    <xf numFmtId="0" fontId="6" fillId="0" borderId="0" applyAlignment="1" applyProtection="1" pivotButton="0" quotePrefix="0" xfId="0">
      <alignment horizontal="center"/>
      <protection locked="1" hidden="1"/>
    </xf>
    <xf numFmtId="0" fontId="20" fillId="0" borderId="4" applyAlignment="1" pivotButton="0" quotePrefix="0" xfId="1">
      <alignment horizontal="center"/>
    </xf>
    <xf numFmtId="0" fontId="0" fillId="0" borderId="0" applyProtection="1" pivotButton="0" quotePrefix="0" xfId="0">
      <protection locked="0" hidden="0"/>
    </xf>
    <xf numFmtId="0" fontId="0" fillId="0" borderId="4" applyProtection="1" pivotButton="0" quotePrefix="0" xfId="0">
      <protection locked="0" hidden="0"/>
    </xf>
    <xf numFmtId="0" fontId="20" fillId="0" borderId="23" applyAlignment="1" pivotButton="0" quotePrefix="0" xfId="1">
      <alignment horizontal="center"/>
    </xf>
    <xf numFmtId="0" fontId="20" fillId="0" borderId="24" applyAlignment="1" pivotButton="0" quotePrefix="0" xfId="1">
      <alignment horizontal="center"/>
    </xf>
    <xf numFmtId="0" fontId="2" fillId="6" borderId="0" applyAlignment="1" applyProtection="1" pivotButton="0" quotePrefix="0" xfId="0">
      <alignment horizontal="center"/>
      <protection locked="0" hidden="0"/>
    </xf>
    <xf numFmtId="0" fontId="20" fillId="0" borderId="21" applyAlignment="1" pivotButton="0" quotePrefix="0" xfId="1">
      <alignment horizontal="center" vertical="center"/>
    </xf>
    <xf numFmtId="0" fontId="0" fillId="0" borderId="22" applyProtection="1" pivotButton="0" quotePrefix="0" xfId="0">
      <protection locked="0" hidden="0"/>
    </xf>
    <xf numFmtId="0" fontId="1" fillId="3" borderId="25" applyAlignment="1" applyProtection="1" pivotButton="0" quotePrefix="0" xfId="0">
      <alignment horizontal="center" vertical="center" shrinkToFit="1"/>
      <protection locked="0" hidden="0"/>
    </xf>
    <xf numFmtId="1" fontId="27" fillId="7" borderId="25" applyAlignment="1" applyProtection="1" pivotButton="0" quotePrefix="0" xfId="0">
      <alignment horizontal="center"/>
      <protection locked="1" hidden="1"/>
    </xf>
    <xf numFmtId="0" fontId="17" fillId="3" borderId="0" applyAlignment="1" applyProtection="1" pivotButton="0" quotePrefix="0" xfId="0">
      <alignment horizontal="left"/>
      <protection locked="1" hidden="1"/>
    </xf>
    <xf numFmtId="0" fontId="29" fillId="0" borderId="0" applyAlignment="1" pivotButton="0" quotePrefix="0" xfId="0">
      <alignment horizontal="left"/>
    </xf>
    <xf numFmtId="0" fontId="12" fillId="3" borderId="0" applyAlignment="1" applyProtection="1" pivotButton="0" quotePrefix="0" xfId="0">
      <alignment horizontal="left" vertical="center"/>
      <protection locked="1" hidden="1"/>
    </xf>
    <xf numFmtId="0" fontId="30" fillId="0" borderId="0" applyAlignment="1" pivotButton="0" quotePrefix="0" xfId="0">
      <alignment horizontal="left"/>
    </xf>
    <xf numFmtId="0" fontId="28" fillId="0" borderId="0" applyAlignment="1" pivotButton="0" quotePrefix="0" xfId="0">
      <alignment horizontal="left" vertical="center" shrinkToFit="1"/>
    </xf>
    <xf numFmtId="0" fontId="12" fillId="3" borderId="0" applyAlignment="1" pivotButton="0" quotePrefix="0" xfId="0">
      <alignment horizontal="left" vertical="center"/>
    </xf>
    <xf numFmtId="0" fontId="22" fillId="3" borderId="0" applyAlignment="1" applyProtection="1" pivotButton="0" quotePrefix="0" xfId="0">
      <alignment horizontal="center"/>
      <protection locked="1" hidden="1"/>
    </xf>
    <xf numFmtId="166" fontId="1" fillId="3" borderId="25" applyAlignment="1" applyProtection="1" pivotButton="0" quotePrefix="0" xfId="0">
      <alignment horizontal="center" vertical="center" shrinkToFit="1"/>
      <protection locked="0" hidden="0"/>
    </xf>
    <xf numFmtId="0" fontId="0" fillId="0" borderId="0" applyProtection="1" pivotButton="0" quotePrefix="0" xfId="0">
      <protection locked="1" hidden="1"/>
    </xf>
    <xf numFmtId="0" fontId="22" fillId="3" borderId="0" applyAlignment="1" applyProtection="1" pivotButton="0" quotePrefix="0" xfId="0">
      <alignment horizontal="left"/>
      <protection locked="1" hidden="1"/>
    </xf>
    <xf numFmtId="165" fontId="0" fillId="3" borderId="0" applyAlignment="1" applyProtection="1" pivotButton="0" quotePrefix="0" xfId="0">
      <alignment horizontal="center"/>
      <protection locked="1" hidden="1"/>
    </xf>
    <xf numFmtId="2" fontId="0" fillId="3" borderId="0" applyAlignment="1" applyProtection="1" pivotButton="0" quotePrefix="0" xfId="0">
      <alignment horizontal="center"/>
      <protection locked="1" hidden="1"/>
    </xf>
    <xf numFmtId="1" fontId="0" fillId="3" borderId="0" applyAlignment="1" applyProtection="1" pivotButton="0" quotePrefix="0" xfId="0">
      <alignment horizontal="center"/>
      <protection locked="1" hidden="1"/>
    </xf>
    <xf numFmtId="0" fontId="15" fillId="4" borderId="26" applyAlignment="1" pivotButton="0" quotePrefix="0" xfId="0">
      <alignment horizontal="center" vertical="center" shrinkToFit="1"/>
    </xf>
    <xf numFmtId="0" fontId="0" fillId="4" borderId="27" pivotButton="0" quotePrefix="0" xfId="0"/>
    <xf numFmtId="0" fontId="0" fillId="4" borderId="28" pivotButton="0" quotePrefix="0" xfId="0"/>
    <xf numFmtId="167" fontId="0" fillId="0" borderId="0" applyProtection="1" pivotButton="0" quotePrefix="0" xfId="0">
      <protection locked="1" hidden="1"/>
    </xf>
    <xf numFmtId="0" fontId="15" fillId="4" borderId="26" applyAlignment="1" applyProtection="1" pivotButton="0" quotePrefix="0" xfId="0">
      <alignment horizontal="center" vertical="center" shrinkToFit="1"/>
      <protection locked="1" hidden="1"/>
    </xf>
    <xf numFmtId="0" fontId="16" fillId="3" borderId="0" applyAlignment="1" applyProtection="1" pivotButton="0" quotePrefix="0" xfId="0">
      <alignment horizontal="left"/>
      <protection locked="1" hidden="1"/>
    </xf>
    <xf numFmtId="167" fontId="0" fillId="3" borderId="0" applyAlignment="1" applyProtection="1" pivotButton="0" quotePrefix="0" xfId="0">
      <alignment horizontal="center"/>
      <protection locked="1" hidden="1"/>
    </xf>
    <xf numFmtId="0" fontId="9" fillId="3" borderId="0" applyAlignment="1" applyProtection="1" pivotButton="0" quotePrefix="0" xfId="0">
      <alignment horizontal="center"/>
      <protection locked="1" hidden="1"/>
    </xf>
    <xf numFmtId="2" fontId="31" fillId="3" borderId="0" applyAlignment="1" applyProtection="1" pivotButton="0" quotePrefix="0" xfId="0">
      <alignment horizontal="center"/>
      <protection locked="1" hidden="1"/>
    </xf>
    <xf numFmtId="0" fontId="32" fillId="8" borderId="0" applyAlignment="1" applyProtection="1" pivotButton="0" quotePrefix="0" xfId="0">
      <alignment horizontal="left" vertical="center" wrapText="1"/>
      <protection locked="1" hidden="1"/>
    </xf>
    <xf numFmtId="168" fontId="0" fillId="0" borderId="0" applyProtection="1" pivotButton="0" quotePrefix="0" xfId="0">
      <protection locked="1" hidden="1"/>
    </xf>
    <xf numFmtId="0" fontId="0" fillId="3" borderId="0" applyAlignment="1" applyProtection="1" pivotButton="0" quotePrefix="0" xfId="0">
      <alignment horizontal="center"/>
      <protection locked="1" hidden="1"/>
    </xf>
    <xf numFmtId="0" fontId="17" fillId="3" borderId="0" applyAlignment="1" applyProtection="1" pivotButton="0" quotePrefix="0" xfId="0">
      <alignment horizontal="center"/>
      <protection locked="1" hidden="1"/>
    </xf>
    <xf numFmtId="0" fontId="28" fillId="0" borderId="0" applyAlignment="1" applyProtection="1" pivotButton="0" quotePrefix="0" xfId="0">
      <alignment horizontal="left" vertical="center" shrinkToFit="1"/>
      <protection locked="1" hidden="1"/>
    </xf>
    <xf numFmtId="1" fontId="0" fillId="0" borderId="0" applyProtection="1" pivotButton="0" quotePrefix="0" xfId="0">
      <protection locked="1" hidden="1"/>
    </xf>
    <xf numFmtId="169" fontId="0" fillId="0" borderId="0" applyProtection="1" pivotButton="0" quotePrefix="0" xfId="0">
      <protection locked="1" hidden="1"/>
    </xf>
    <xf numFmtId="2" fontId="0" fillId="5" borderId="0" applyAlignment="1" applyProtection="1" pivotButton="0" quotePrefix="0" xfId="0">
      <alignment horizontal="center"/>
      <protection locked="1" hidden="1"/>
    </xf>
    <xf numFmtId="0" fontId="33" fillId="3" borderId="0" applyAlignment="1" pivotButton="0" quotePrefix="0" xfId="0">
      <alignment horizontal="left"/>
    </xf>
    <xf numFmtId="0" fontId="20" fillId="0" borderId="15" applyAlignment="1" pivotButton="0" quotePrefix="0" xfId="1">
      <alignment horizontal="center"/>
    </xf>
    <xf numFmtId="0" fontId="0" fillId="0" borderId="16" applyProtection="1" pivotButton="0" quotePrefix="0" xfId="0">
      <protection locked="0" hidden="0"/>
    </xf>
    <xf numFmtId="0" fontId="20" fillId="0" borderId="17" applyAlignment="1" pivotButton="0" quotePrefix="0" xfId="1">
      <alignment horizontal="center"/>
    </xf>
    <xf numFmtId="0" fontId="0" fillId="0" borderId="17" applyProtection="1" pivotButton="0" quotePrefix="0" xfId="0">
      <protection locked="0" hidden="0"/>
    </xf>
    <xf numFmtId="0" fontId="20" fillId="0" borderId="18" applyAlignment="1" pivotButton="0" quotePrefix="0" xfId="1">
      <alignment horizontal="center" vertical="center"/>
    </xf>
    <xf numFmtId="0" fontId="0" fillId="0" borderId="19" pivotButton="0" quotePrefix="0" xfId="0"/>
    <xf numFmtId="0" fontId="0" fillId="0" borderId="20" pivotButton="0" quotePrefix="0" xfId="0"/>
    <xf numFmtId="0" fontId="7" fillId="3" borderId="0" applyAlignment="1" applyProtection="1" pivotButton="0" quotePrefix="0" xfId="0">
      <alignment horizontal="center" vertical="top"/>
      <protection locked="1" hidden="1"/>
    </xf>
    <xf numFmtId="0" fontId="27" fillId="7" borderId="25" applyAlignment="1" applyProtection="1" pivotButton="0" quotePrefix="0" xfId="0">
      <alignment horizontal="center"/>
      <protection locked="1" hidden="1"/>
    </xf>
    <xf numFmtId="2" fontId="27" fillId="7" borderId="25" applyAlignment="1" applyProtection="1" pivotButton="0" quotePrefix="0" xfId="0">
      <alignment horizontal="center"/>
      <protection locked="1" hidden="1"/>
    </xf>
    <xf numFmtId="0" fontId="27" fillId="7" borderId="25" applyAlignment="1" applyProtection="1" pivotButton="0" quotePrefix="0" xfId="0">
      <alignment horizontal="center" vertical="center" shrinkToFit="1"/>
      <protection locked="0" hidden="0"/>
    </xf>
    <xf numFmtId="0" fontId="27" fillId="7" borderId="2" applyAlignment="1" applyProtection="1" pivotButton="0" quotePrefix="0" xfId="0">
      <alignment horizontal="center"/>
      <protection locked="1" hidden="1"/>
    </xf>
    <xf numFmtId="0" fontId="18" fillId="3" borderId="1" applyAlignment="1" applyProtection="1" pivotButton="0" quotePrefix="0" xfId="0">
      <alignment horizontal="center" vertical="center"/>
      <protection locked="1" hidden="1"/>
    </xf>
    <xf numFmtId="0" fontId="26" fillId="3" borderId="0" applyAlignment="1" applyProtection="1" pivotButton="0" quotePrefix="0" xfId="0">
      <alignment horizontal="center"/>
      <protection locked="1" hidden="1"/>
    </xf>
    <xf numFmtId="0" fontId="34" fillId="3" borderId="0" applyAlignment="1" applyProtection="1" pivotButton="0" quotePrefix="0" xfId="0">
      <alignment horizontal="center"/>
      <protection locked="1" hidden="1"/>
    </xf>
    <xf numFmtId="2" fontId="0" fillId="0" borderId="0" applyProtection="1" pivotButton="0" quotePrefix="0" xfId="0">
      <protection locked="1" hidden="1"/>
    </xf>
    <xf numFmtId="0" fontId="0" fillId="0" borderId="0" applyAlignment="1" applyProtection="1" pivotButton="0" quotePrefix="0" xfId="0">
      <alignment horizontal="left" vertical="center"/>
      <protection locked="1" hidden="1"/>
    </xf>
    <xf numFmtId="0" fontId="0" fillId="3" borderId="0" applyProtection="1" pivotButton="0" quotePrefix="0" xfId="0">
      <protection locked="1" hidden="1"/>
    </xf>
    <xf numFmtId="0" fontId="0" fillId="0" borderId="0" applyAlignment="1" applyProtection="1" pivotButton="0" quotePrefix="0" xfId="0">
      <alignment horizontal="right" vertical="center"/>
      <protection locked="1" hidden="1"/>
    </xf>
    <xf numFmtId="2" fontId="0" fillId="3" borderId="0" applyProtection="1" pivotButton="0" quotePrefix="0" xfId="0">
      <protection locked="1" hidden="1"/>
    </xf>
    <xf numFmtId="0" fontId="7" fillId="3" borderId="0" applyAlignment="1" applyProtection="1" pivotButton="0" quotePrefix="0" xfId="0">
      <alignment horizontal="center" vertical="center" textRotation="90"/>
      <protection locked="1" hidden="1"/>
    </xf>
    <xf numFmtId="165" fontId="0" fillId="3" borderId="0" applyProtection="1" pivotButton="0" quotePrefix="0" xfId="0">
      <protection locked="1" hidden="1"/>
    </xf>
    <xf numFmtId="0" fontId="0" fillId="0" borderId="4" pivotButton="0" quotePrefix="0" xfId="0"/>
    <xf numFmtId="2" fontId="9" fillId="3" borderId="1" applyAlignment="1" applyProtection="1" pivotButton="0" quotePrefix="0" xfId="0">
      <alignment horizontal="center"/>
      <protection locked="1" hidden="1"/>
    </xf>
    <xf numFmtId="165" fontId="7" fillId="3" borderId="0" applyAlignment="1" applyProtection="1" pivotButton="0" quotePrefix="0" xfId="0">
      <alignment horizontal="right" textRotation="90"/>
      <protection locked="1" hidden="1"/>
    </xf>
    <xf numFmtId="1" fontId="0" fillId="3" borderId="0" applyProtection="1" pivotButton="0" quotePrefix="0" xfId="0">
      <protection locked="1" hidden="1"/>
    </xf>
    <xf numFmtId="2" fontId="15" fillId="3" borderId="0" applyProtection="1" pivotButton="0" quotePrefix="0" xfId="0">
      <protection locked="1" hidden="1"/>
    </xf>
    <xf numFmtId="0" fontId="15" fillId="4" borderId="1" applyAlignment="1" pivotButton="0" quotePrefix="0" xfId="0">
      <alignment horizontal="center"/>
    </xf>
    <xf numFmtId="0" fontId="0" fillId="0" borderId="13" pivotButton="0" quotePrefix="0" xfId="0"/>
    <xf numFmtId="0" fontId="13" fillId="5" borderId="0" applyAlignment="1" applyProtection="1" pivotButton="0" quotePrefix="0" xfId="0">
      <alignment horizontal="center"/>
      <protection locked="1" hidden="1"/>
    </xf>
    <xf numFmtId="0" fontId="7" fillId="3" borderId="0" applyProtection="1" pivotButton="0" quotePrefix="0" xfId="0">
      <protection locked="1" hidden="1"/>
    </xf>
    <xf numFmtId="0" fontId="24" fillId="3" borderId="0" applyAlignment="1" applyProtection="1" pivotButton="0" quotePrefix="0" xfId="0">
      <alignment horizontal="right" vertical="center"/>
      <protection locked="1" hidden="1"/>
    </xf>
    <xf numFmtId="0" fontId="28" fillId="3" borderId="0" applyAlignment="1" pivotButton="0" quotePrefix="0" xfId="0">
      <alignment horizontal="left"/>
    </xf>
    <xf numFmtId="49" fontId="0" fillId="3" borderId="0" applyAlignment="1" applyProtection="1" pivotButton="0" quotePrefix="0" xfId="0">
      <alignment horizontal="center"/>
      <protection locked="1" hidden="1"/>
    </xf>
    <xf numFmtId="0" fontId="22" fillId="3" borderId="0" applyAlignment="1" applyProtection="1" pivotButton="0" quotePrefix="0" xfId="0">
      <alignment horizontal="left" shrinkToFit="1"/>
      <protection locked="1" hidden="1"/>
    </xf>
    <xf numFmtId="0" fontId="0" fillId="3" borderId="0" applyAlignment="1" applyProtection="1" pivotButton="0" quotePrefix="0" xfId="0">
      <alignment horizontal="left"/>
      <protection locked="1" hidden="1"/>
    </xf>
    <xf numFmtId="0" fontId="31" fillId="3" borderId="0" applyAlignment="1" applyProtection="1" pivotButton="0" quotePrefix="0" xfId="0">
      <alignment horizontal="left"/>
      <protection locked="1" hidden="1"/>
    </xf>
    <xf numFmtId="0" fontId="35" fillId="0" borderId="0" applyAlignment="1" pivotButton="0" quotePrefix="0" xfId="0">
      <alignment vertical="top" wrapText="1"/>
    </xf>
    <xf numFmtId="0" fontId="36"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vertical="top" wrapText="1"/>
    </xf>
  </cellXfs>
  <cellStyles count="2">
    <cellStyle name="Normal" xfId="0" builtinId="0"/>
    <cellStyle name="Hyperlink" xfId="1" builtinId="8"/>
  </cellStyles>
  <dxfs count="11">
    <dxf>
      <font>
        <strike val="0"/>
        <u val="double"/>
      </font>
    </dxf>
    <dxf>
      <font>
        <color rgb="FF00B050"/>
      </font>
    </dxf>
    <dxf>
      <font>
        <color rgb="FFFF0000"/>
      </font>
    </dxf>
    <dxf>
      <font>
        <color rgb="FFFF0000"/>
      </font>
    </dxf>
    <dxf>
      <font>
        <color rgb="FFFF0000"/>
      </font>
    </dxf>
    <dxf>
      <font>
        <color rgb="FFFF0000"/>
      </font>
    </dxf>
    <dxf>
      <font>
        <color rgb="FFFF0000"/>
      </font>
    </dxf>
    <dxf>
      <font>
        <color rgb="FF92D050"/>
      </font>
    </dxf>
    <dxf>
      <font>
        <color rgb="FFFF0000"/>
      </font>
    </dxf>
    <dxf>
      <font>
        <color rgb="FFA6A6A6"/>
      </font>
      <fill>
        <patternFill patternType="solid">
          <fgColor rgb="FFD9D9D9"/>
        </patternFill>
      </fill>
    </dxf>
    <dxf>
      <fill>
        <patternFill patternType="solid">
          <fgColor rgb="FF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plotArea>
      <scatterChart>
        <scatterStyle val="lineMarker"/>
        <ser>
          <idx val="0"/>
          <order val="0"/>
          <tx>
            <v>Pedestal</v>
          </tx>
          <spPr>
            <a:ln xmlns:a="http://schemas.openxmlformats.org/drawingml/2006/main" w="28575">
              <a:solidFill>
                <a:srgbClr val="595959"/>
              </a:solidFill>
              <a:prstDash val="solid"/>
            </a:ln>
          </spPr>
          <marker>
            <symbol val="none"/>
            <spPr>
              <a:ln xmlns:a="http://schemas.openxmlformats.org/drawingml/2006/main">
                <a:prstDash val="solid"/>
              </a:ln>
            </spPr>
          </marker>
          <xVal>
            <numRef>
              <f>'1-Base Plate'!$BP$37:$BP$41</f>
            </numRef>
          </xVal>
          <yVal>
            <numRef>
              <f>'1-Base Plate'!$BQ$37:$BQ$41</f>
            </numRef>
          </yVal>
          <smooth val="0"/>
        </ser>
        <ser>
          <idx val="1"/>
          <order val="1"/>
          <tx>
            <v>Base plate</v>
          </tx>
          <spPr>
            <a:ln xmlns:a="http://schemas.openxmlformats.org/drawingml/2006/main" w="15875">
              <a:solidFill>
                <a:srgbClr val="1F4E79"/>
              </a:solidFill>
              <a:prstDash val="dash"/>
            </a:ln>
          </spPr>
          <marker>
            <symbol val="none"/>
            <spPr>
              <a:ln xmlns:a="http://schemas.openxmlformats.org/drawingml/2006/main">
                <a:prstDash val="solid"/>
              </a:ln>
            </spPr>
          </marker>
          <xVal>
            <numRef>
              <f>'1-Base Plate'!$BR$37:$BR$41</f>
            </numRef>
          </xVal>
          <yVal>
            <numRef>
              <f>'1-Base Plate'!$BS$37:$BS$41</f>
            </numRef>
          </yVal>
          <smooth val="0"/>
        </ser>
        <ser>
          <idx val="2"/>
          <order val="2"/>
          <tx>
            <v>Compression zone</v>
          </tx>
          <spPr>
            <a:ln xmlns:a="http://schemas.openxmlformats.org/drawingml/2006/main" w="9525">
              <a:solidFill>
                <a:srgbClr val="F4B183"/>
              </a:solidFill>
              <a:prstDash val="solid"/>
            </a:ln>
          </spPr>
          <marker>
            <symbol val="none"/>
            <spPr>
              <a:ln xmlns:a="http://schemas.openxmlformats.org/drawingml/2006/main">
                <a:prstDash val="solid"/>
              </a:ln>
            </spPr>
          </marker>
          <xVal>
            <numRef>
              <f>'1-Base Plate'!$CJ$37:$CJ$57</f>
            </numRef>
          </xVal>
          <yVal>
            <numRef>
              <f>'1-Base Plate'!$CK$37:$CK$57</f>
            </numRef>
          </yVal>
          <smooth val="0"/>
        </ser>
        <ser>
          <idx val="3"/>
          <order val="3"/>
          <tx>
            <v>Column</v>
          </tx>
          <spPr>
            <a:ln xmlns:a="http://schemas.openxmlformats.org/drawingml/2006/main" w="19050">
              <a:solidFill>
                <a:srgbClr val="404040"/>
              </a:solidFill>
              <a:prstDash val="solid"/>
            </a:ln>
          </spPr>
          <marker>
            <symbol val="none"/>
            <spPr>
              <a:ln xmlns:a="http://schemas.openxmlformats.org/drawingml/2006/main">
                <a:prstDash val="solid"/>
              </a:ln>
            </spPr>
          </marker>
          <xVal>
            <numRef>
              <f>'1-Base Plate'!$BT$37:$BT$73</f>
            </numRef>
          </xVal>
          <yVal>
            <numRef>
              <f>'1-Base Plate'!$BU$37:$BU$73</f>
            </numRef>
          </yVal>
          <smooth val="0"/>
        </ser>
        <ser>
          <idx val="4"/>
          <order val="4"/>
          <tx>
            <v>Column inner</v>
          </tx>
          <spPr>
            <a:ln xmlns:a="http://schemas.openxmlformats.org/drawingml/2006/main" w="12700">
              <a:solidFill>
                <a:srgbClr val="404040"/>
              </a:solidFill>
              <a:prstDash val="solid"/>
            </a:ln>
          </spPr>
          <marker>
            <symbol val="none"/>
            <spPr>
              <a:ln xmlns:a="http://schemas.openxmlformats.org/drawingml/2006/main">
                <a:prstDash val="solid"/>
              </a:ln>
            </spPr>
          </marker>
          <xVal>
            <numRef>
              <f>'1-Base Plate'!$BV$37:$BV$73</f>
            </numRef>
          </xVal>
          <yVal>
            <numRef>
              <f>'1-Base Plate'!$BW$37:$BW$73</f>
            </numRef>
          </yVal>
          <smooth val="0"/>
        </ser>
        <ser>
          <idx val="5"/>
          <order val="5"/>
          <tx>
            <v>X axis</v>
          </tx>
          <spPr>
            <a:ln xmlns:a="http://schemas.openxmlformats.org/drawingml/2006/main" w="9525">
              <a:solidFill>
                <a:srgbClr val="A6A6A6"/>
              </a:solidFill>
              <a:prstDash val="dashDot"/>
            </a:ln>
          </spPr>
          <marker>
            <symbol val="none"/>
            <spPr>
              <a:ln xmlns:a="http://schemas.openxmlformats.org/drawingml/2006/main">
                <a:prstDash val="solid"/>
              </a:ln>
            </spPr>
          </marker>
          <xVal>
            <numRef>
              <f>'1-Base Plate'!$BX$37:$BX$38</f>
            </numRef>
          </xVal>
          <yVal>
            <numRef>
              <f>'1-Base Plate'!$BY$37:$BY$38</f>
            </numRef>
          </yVal>
          <smooth val="0"/>
        </ser>
        <ser>
          <idx val="6"/>
          <order val="6"/>
          <tx>
            <v>Y axis</v>
          </tx>
          <spPr>
            <a:ln xmlns:a="http://schemas.openxmlformats.org/drawingml/2006/main" w="9525">
              <a:solidFill>
                <a:srgbClr val="A6A6A6"/>
              </a:solidFill>
              <a:prstDash val="dashDot"/>
            </a:ln>
          </spPr>
          <marker>
            <symbol val="none"/>
            <spPr>
              <a:ln xmlns:a="http://schemas.openxmlformats.org/drawingml/2006/main">
                <a:prstDash val="solid"/>
              </a:ln>
            </spPr>
          </marker>
          <xVal>
            <numRef>
              <f>'1-Base Plate'!$BX$39:$BX$40</f>
            </numRef>
          </xVal>
          <yVal>
            <numRef>
              <f>'1-Base Plate'!$BY$39:$BY$40</f>
            </numRef>
          </yVal>
          <smooth val="0"/>
        </ser>
        <ser>
          <idx val="7"/>
          <order val="7"/>
          <tx>
            <v>N.A.</v>
          </tx>
          <spPr>
            <a:ln xmlns:a="http://schemas.openxmlformats.org/drawingml/2006/main" w="15875">
              <a:solidFill>
                <a:srgbClr val="C00000"/>
              </a:solidFill>
              <a:prstDash val="dash"/>
            </a:ln>
          </spPr>
          <marker>
            <symbol val="none"/>
            <spPr>
              <a:ln xmlns:a="http://schemas.openxmlformats.org/drawingml/2006/main">
                <a:prstDash val="solid"/>
              </a:ln>
            </spPr>
          </marker>
          <xVal>
            <numRef>
              <f>'1-Base Plate'!$CH$37:$CH$38</f>
            </numRef>
          </xVal>
          <yVal>
            <numRef>
              <f>'1-Base Plate'!$CI$37:$CI$38</f>
            </numRef>
          </yVal>
          <smooth val="0"/>
        </ser>
        <ser>
          <idx val="8"/>
          <order val="8"/>
          <tx>
            <strRef>
              <f>'1-Base Plate'!$CQ$37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900" b="1">
                    <a:solidFill>
                      <a:srgbClr val="595959"/>
                    </a:solidFill>
                  </a:defRPr>
                </a:pPr>
                <a:r>
                  <a:t/>
                </a:r>
                <a:endParaRPr/>
              </a:p>
            </txPr>
            <dLblPos val="r"/>
            <showLegendKey val="0"/>
            <showVal val="0"/>
            <showCatName val="0"/>
            <showSerName val="1"/>
          </dLbls>
          <xVal>
            <numRef>
              <f>'1-Base Plate'!$CO$37</f>
            </numRef>
          </xVal>
          <yVal>
            <numRef>
              <f>'1-Base Plate'!$CP$37</f>
            </numRef>
          </yVal>
          <smooth val="0"/>
        </ser>
        <ser>
          <idx val="9"/>
          <order val="9"/>
          <tx>
            <strRef>
              <f>'1-Base Plate'!$CQ$38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900" b="1">
                    <a:solidFill>
                      <a:srgbClr val="595959"/>
                    </a:solidFill>
                  </a:defRPr>
                </a:pPr>
                <a:r>
                  <a:t/>
                </a:r>
                <a:endParaRPr/>
              </a:p>
            </txPr>
            <dLblPos val="t"/>
            <showLegendKey val="0"/>
            <showVal val="0"/>
            <showCatName val="0"/>
            <showSerName val="1"/>
          </dLbls>
          <xVal>
            <numRef>
              <f>'1-Base Plate'!$CO$38</f>
            </numRef>
          </xVal>
          <yVal>
            <numRef>
              <f>'1-Base Plate'!$CP$38</f>
            </numRef>
          </yVal>
          <smooth val="0"/>
        </ser>
        <ser>
          <idx val="10"/>
          <order val="10"/>
          <tx>
            <strRef>
              <f>'1-Base Plate'!$CQ$39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50" b="0">
                    <a:solidFill>
                      <a:srgbClr val="595959"/>
                    </a:solidFill>
                  </a:defRPr>
                </a:pPr>
                <a:r>
                  <a:t/>
                </a:r>
                <a:endParaRPr/>
              </a:p>
            </txPr>
            <dLblPos val="b"/>
            <showLegendKey val="0"/>
            <showVal val="0"/>
            <showCatName val="0"/>
            <showSerName val="1"/>
          </dLbls>
          <xVal>
            <numRef>
              <f>'1-Base Plate'!$CO$39</f>
            </numRef>
          </xVal>
          <yVal>
            <numRef>
              <f>'1-Base Plate'!$CP$39</f>
            </numRef>
          </yVal>
          <smooth val="0"/>
        </ser>
        <ser>
          <idx val="11"/>
          <order val="11"/>
          <tx>
            <strRef>
              <f>'1-Base Plate'!$CQ$40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50" b="0">
                    <a:solidFill>
                      <a:srgbClr val="595959"/>
                    </a:solidFill>
                  </a:defRPr>
                </a:pPr>
                <a:r>
                  <a:t/>
                </a:r>
                <a:endParaRPr/>
              </a:p>
            </txPr>
            <dLblPos val="l"/>
            <showLegendKey val="0"/>
            <showVal val="0"/>
            <showCatName val="0"/>
            <showSerName val="1"/>
          </dLbls>
          <xVal>
            <numRef>
              <f>'1-Base Plate'!$CO$40</f>
            </numRef>
          </xVal>
          <yVal>
            <numRef>
              <f>'1-Base Plate'!$CP$40</f>
            </numRef>
          </yVal>
          <smooth val="0"/>
        </ser>
        <ser>
          <idx val="12"/>
          <order val="12"/>
          <tx>
            <strRef>
              <f>'1-Base Plate'!$CQ$41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50" b="0">
                    <a:solidFill>
                      <a:srgbClr val="C00000"/>
                    </a:solidFill>
                  </a:defRPr>
                </a:pPr>
                <a:r>
                  <a:t/>
                </a:r>
                <a:endParaRPr/>
              </a:p>
            </txPr>
            <dLblPos val="t"/>
            <showLegendKey val="0"/>
            <showVal val="0"/>
            <showCatName val="0"/>
            <showSerName val="1"/>
          </dLbls>
          <xVal>
            <numRef>
              <f>'1-Base Plate'!$CO$41</f>
            </numRef>
          </xVal>
          <yVal>
            <numRef>
              <f>'1-Base Plate'!$CP$41</f>
            </numRef>
          </yVal>
          <smooth val="0"/>
        </ser>
        <ser>
          <idx val="13"/>
          <order val="13"/>
          <tx>
            <strRef>
              <f>'1-Base Plate'!$CN$37</f>
            </strRef>
          </tx>
          <spPr>
            <a:ln xmlns:a="http://schemas.openxmlformats.org/drawingml/2006/main">
              <a:noFill/>
              <a:prstDash val="solid"/>
            </a:ln>
          </spPr>
          <marker>
            <symbol val="circle"/>
            <size val="10"/>
            <spPr>
              <a:solidFill xmlns:a="http://schemas.openxmlformats.org/drawingml/2006/main">
                <a:srgbClr val="FFFFFF"/>
              </a:solidFill>
              <a:ln xmlns:a="http://schemas.openxmlformats.org/drawingml/2006/main" w="19050">
                <a:solidFill>
                  <a:srgbClr val="C00000"/>
                </a:solidFill>
                <a:prstDash val="solid"/>
              </a:ln>
            </spPr>
          </marker>
          <dLbls>
            <txPr>
              <a:bodyPr xmlns:a="http://schemas.openxmlformats.org/drawingml/2006/main"/>
              <a:p xmlns:a="http://schemas.openxmlformats.org/drawingml/2006/main">
                <a:pPr>
                  <a:defRPr sz="700" b="1">
                    <a:solidFill>
                      <a:srgbClr val="C00000"/>
                    </a:solidFill>
                  </a:defRPr>
                </a:pPr>
                <a:r>
                  <a:t/>
                </a:r>
                <a:endParaRPr/>
              </a:p>
            </txPr>
            <dLblPos val="t"/>
            <showLegendKey val="0"/>
            <showVal val="0"/>
            <showCatName val="0"/>
            <showSerName val="1"/>
          </dLbls>
          <xVal>
            <numRef>
              <f>'1-Base Plate'!$CL$37</f>
            </numRef>
          </xVal>
          <yVal>
            <numRef>
              <f>'1-Base Plate'!$CM$37</f>
            </numRef>
          </yVal>
          <smooth val="0"/>
        </ser>
        <ser>
          <idx val="14"/>
          <order val="14"/>
          <tx>
            <strRef>
              <f>'1-Base Plate'!$CN$38</f>
            </strRef>
          </tx>
          <spPr>
            <a:ln xmlns:a="http://schemas.openxmlformats.org/drawingml/2006/main">
              <a:noFill/>
              <a:prstDash val="solid"/>
            </a:ln>
          </spPr>
          <marker>
            <symbol val="circle"/>
            <size val="10"/>
            <spPr>
              <a:solidFill xmlns:a="http://schemas.openxmlformats.org/drawingml/2006/main">
                <a:srgbClr val="FFFFFF"/>
              </a:solidFill>
              <a:ln xmlns:a="http://schemas.openxmlformats.org/drawingml/2006/main" w="19050">
                <a:solidFill>
                  <a:srgbClr val="C00000"/>
                </a:solidFill>
                <a:prstDash val="solid"/>
              </a:ln>
            </spPr>
          </marker>
          <dLbls>
            <txPr>
              <a:bodyPr xmlns:a="http://schemas.openxmlformats.org/drawingml/2006/main"/>
              <a:p xmlns:a="http://schemas.openxmlformats.org/drawingml/2006/main">
                <a:pPr>
                  <a:defRPr sz="700" b="1">
                    <a:solidFill>
                      <a:srgbClr val="C00000"/>
                    </a:solidFill>
                  </a:defRPr>
                </a:pPr>
                <a:r>
                  <a:t/>
                </a:r>
                <a:endParaRPr/>
              </a:p>
            </txPr>
            <dLblPos val="t"/>
            <showLegendKey val="0"/>
            <showVal val="0"/>
            <showCatName val="0"/>
            <showSerName val="1"/>
          </dLbls>
          <xVal>
            <numRef>
              <f>'1-Base Plate'!$CL$38</f>
            </numRef>
          </xVal>
          <yVal>
            <numRef>
              <f>'1-Base Plate'!$CM$38</f>
            </numRef>
          </yVal>
          <smooth val="0"/>
        </ser>
        <ser>
          <idx val="15"/>
          <order val="15"/>
          <tx>
            <strRef>
              <f>'1-Base Plate'!$CN$39</f>
            </strRef>
          </tx>
          <spPr>
            <a:ln xmlns:a="http://schemas.openxmlformats.org/drawingml/2006/main">
              <a:noFill/>
              <a:prstDash val="solid"/>
            </a:ln>
          </spPr>
          <marker>
            <symbol val="circle"/>
            <size val="10"/>
            <spPr>
              <a:solidFill xmlns:a="http://schemas.openxmlformats.org/drawingml/2006/main">
                <a:srgbClr val="FFFFFF"/>
              </a:solidFill>
              <a:ln xmlns:a="http://schemas.openxmlformats.org/drawingml/2006/main" w="19050">
                <a:solidFill>
                  <a:srgbClr val="C00000"/>
                </a:solidFill>
                <a:prstDash val="solid"/>
              </a:ln>
            </spPr>
          </marker>
          <dLbls>
            <txPr>
              <a:bodyPr xmlns:a="http://schemas.openxmlformats.org/drawingml/2006/main"/>
              <a:p xmlns:a="http://schemas.openxmlformats.org/drawingml/2006/main">
                <a:pPr>
                  <a:defRPr sz="700" b="1">
                    <a:solidFill>
                      <a:srgbClr val="C00000"/>
                    </a:solidFill>
                  </a:defRPr>
                </a:pPr>
                <a:r>
                  <a:t/>
                </a:r>
                <a:endParaRPr/>
              </a:p>
            </txPr>
            <dLblPos val="t"/>
            <showLegendKey val="0"/>
            <showVal val="0"/>
            <showCatName val="0"/>
            <showSerName val="1"/>
          </dLbls>
          <xVal>
            <numRef>
              <f>'1-Base Plate'!$CL$39</f>
            </numRef>
          </xVal>
          <yVal>
            <numRef>
              <f>'1-Base Plate'!$CM$39</f>
            </numRef>
          </yVal>
          <smooth val="0"/>
        </ser>
        <ser>
          <idx val="16"/>
          <order val="16"/>
          <tx>
            <strRef>
              <f>'1-Base Plate'!$CN$40</f>
            </strRef>
          </tx>
          <spPr>
            <a:ln xmlns:a="http://schemas.openxmlformats.org/drawingml/2006/main">
              <a:noFill/>
              <a:prstDash val="solid"/>
            </a:ln>
          </spPr>
          <marker>
            <symbol val="circle"/>
            <size val="10"/>
            <spPr>
              <a:solidFill xmlns:a="http://schemas.openxmlformats.org/drawingml/2006/main">
                <a:srgbClr val="FFFFFF"/>
              </a:solidFill>
              <a:ln xmlns:a="http://schemas.openxmlformats.org/drawingml/2006/main" w="19050">
                <a:solidFill>
                  <a:srgbClr val="C00000"/>
                </a:solidFill>
                <a:prstDash val="solid"/>
              </a:ln>
            </spPr>
          </marker>
          <dLbls>
            <txPr>
              <a:bodyPr xmlns:a="http://schemas.openxmlformats.org/drawingml/2006/main"/>
              <a:p xmlns:a="http://schemas.openxmlformats.org/drawingml/2006/main">
                <a:pPr>
                  <a:defRPr sz="700" b="1">
                    <a:solidFill>
                      <a:srgbClr val="C00000"/>
                    </a:solidFill>
                  </a:defRPr>
                </a:pPr>
                <a:r>
                  <a:t/>
                </a:r>
                <a:endParaRPr/>
              </a:p>
            </txPr>
            <dLblPos val="t"/>
            <showLegendKey val="0"/>
            <showVal val="0"/>
            <showCatName val="0"/>
            <showSerName val="1"/>
          </dLbls>
          <xVal>
            <numRef>
              <f>'1-Base Plate'!$CL$40</f>
            </numRef>
          </xVal>
          <yVal>
            <numRef>
              <f>'1-Base Plate'!$CM$40</f>
            </numRef>
          </yVal>
          <smooth val="0"/>
        </ser>
        <ser>
          <idx val="17"/>
          <order val="17"/>
          <tx>
            <strRef>
              <f>'1-Base Plate'!$CN$41</f>
            </strRef>
          </tx>
          <spPr>
            <a:ln xmlns:a="http://schemas.openxmlformats.org/drawingml/2006/main">
              <a:noFill/>
              <a:prstDash val="solid"/>
            </a:ln>
          </spPr>
          <marker>
            <symbol val="circle"/>
            <size val="10"/>
            <spPr>
              <a:solidFill xmlns:a="http://schemas.openxmlformats.org/drawingml/2006/main">
                <a:srgbClr val="FFFFFF"/>
              </a:solidFill>
              <a:ln xmlns:a="http://schemas.openxmlformats.org/drawingml/2006/main" w="19050">
                <a:solidFill>
                  <a:srgbClr val="C00000"/>
                </a:solidFill>
                <a:prstDash val="solid"/>
              </a:ln>
            </spPr>
          </marker>
          <dLbls>
            <txPr>
              <a:bodyPr xmlns:a="http://schemas.openxmlformats.org/drawingml/2006/main"/>
              <a:p xmlns:a="http://schemas.openxmlformats.org/drawingml/2006/main">
                <a:pPr>
                  <a:defRPr sz="700" b="1">
                    <a:solidFill>
                      <a:srgbClr val="C00000"/>
                    </a:solidFill>
                  </a:defRPr>
                </a:pPr>
                <a:r>
                  <a:t/>
                </a:r>
                <a:endParaRPr/>
              </a:p>
            </txPr>
            <dLblPos val="t"/>
            <showLegendKey val="0"/>
            <showVal val="0"/>
            <showCatName val="0"/>
            <showSerName val="1"/>
          </dLbls>
          <xVal>
            <numRef>
              <f>'1-Base Plate'!$CL$41</f>
            </numRef>
          </xVal>
          <yVal>
            <numRef>
              <f>'1-Base Plate'!$CM$41</f>
            </numRef>
          </yVal>
          <smooth val="0"/>
        </ser>
        <ser>
          <idx val="18"/>
          <order val="18"/>
          <tx>
            <strRef>
              <f>'1-Base Plate'!$CN$42</f>
            </strRef>
          </tx>
          <spPr>
            <a:ln xmlns:a="http://schemas.openxmlformats.org/drawingml/2006/main">
              <a:noFill/>
              <a:prstDash val="solid"/>
            </a:ln>
          </spPr>
          <marker>
            <symbol val="circle"/>
            <size val="10"/>
            <spPr>
              <a:solidFill xmlns:a="http://schemas.openxmlformats.org/drawingml/2006/main">
                <a:srgbClr val="FFFFFF"/>
              </a:solidFill>
              <a:ln xmlns:a="http://schemas.openxmlformats.org/drawingml/2006/main" w="19050">
                <a:solidFill>
                  <a:srgbClr val="C00000"/>
                </a:solidFill>
                <a:prstDash val="solid"/>
              </a:ln>
            </spPr>
          </marker>
          <dLbls>
            <txPr>
              <a:bodyPr xmlns:a="http://schemas.openxmlformats.org/drawingml/2006/main"/>
              <a:p xmlns:a="http://schemas.openxmlformats.org/drawingml/2006/main">
                <a:pPr>
                  <a:defRPr sz="700" b="1">
                    <a:solidFill>
                      <a:srgbClr val="C00000"/>
                    </a:solidFill>
                  </a:defRPr>
                </a:pPr>
                <a:r>
                  <a:t/>
                </a:r>
                <a:endParaRPr/>
              </a:p>
            </txPr>
            <dLblPos val="t"/>
            <showLegendKey val="0"/>
            <showVal val="0"/>
            <showCatName val="0"/>
            <showSerName val="1"/>
          </dLbls>
          <xVal>
            <numRef>
              <f>'1-Base Plate'!$CL$42</f>
            </numRef>
          </xVal>
          <yVal>
            <numRef>
              <f>'1-Base Plate'!$CM$42</f>
            </numRef>
          </yVal>
          <smooth val="0"/>
        </ser>
        <ser>
          <idx val="19"/>
          <order val="19"/>
          <tx>
            <strRef>
              <f>'1-Base Plate'!$CN$43</f>
            </strRef>
          </tx>
          <spPr>
            <a:ln xmlns:a="http://schemas.openxmlformats.org/drawingml/2006/main">
              <a:noFill/>
              <a:prstDash val="solid"/>
            </a:ln>
          </spPr>
          <marker>
            <symbol val="circle"/>
            <size val="10"/>
            <spPr>
              <a:solidFill xmlns:a="http://schemas.openxmlformats.org/drawingml/2006/main">
                <a:srgbClr val="FFFFFF"/>
              </a:solidFill>
              <a:ln xmlns:a="http://schemas.openxmlformats.org/drawingml/2006/main" w="19050">
                <a:solidFill>
                  <a:srgbClr val="C00000"/>
                </a:solidFill>
                <a:prstDash val="solid"/>
              </a:ln>
            </spPr>
          </marker>
          <dLbls>
            <txPr>
              <a:bodyPr xmlns:a="http://schemas.openxmlformats.org/drawingml/2006/main"/>
              <a:p xmlns:a="http://schemas.openxmlformats.org/drawingml/2006/main">
                <a:pPr>
                  <a:defRPr sz="700" b="1">
                    <a:solidFill>
                      <a:srgbClr val="C00000"/>
                    </a:solidFill>
                  </a:defRPr>
                </a:pPr>
                <a:r>
                  <a:t/>
                </a:r>
                <a:endParaRPr/>
              </a:p>
            </txPr>
            <dLblPos val="t"/>
            <showLegendKey val="0"/>
            <showVal val="0"/>
            <showCatName val="0"/>
            <showSerName val="1"/>
          </dLbls>
          <xVal>
            <numRef>
              <f>'1-Base Plate'!$CL$43</f>
            </numRef>
          </xVal>
          <yVal>
            <numRef>
              <f>'1-Base Plate'!$CM$43</f>
            </numRef>
          </yVal>
          <smooth val="0"/>
        </ser>
        <ser>
          <idx val="20"/>
          <order val="20"/>
          <tx>
            <strRef>
              <f>'1-Base Plate'!$CN$44</f>
            </strRef>
          </tx>
          <spPr>
            <a:ln xmlns:a="http://schemas.openxmlformats.org/drawingml/2006/main">
              <a:noFill/>
              <a:prstDash val="solid"/>
            </a:ln>
          </spPr>
          <marker>
            <symbol val="circle"/>
            <size val="10"/>
            <spPr>
              <a:solidFill xmlns:a="http://schemas.openxmlformats.org/drawingml/2006/main">
                <a:srgbClr val="FFFFFF"/>
              </a:solidFill>
              <a:ln xmlns:a="http://schemas.openxmlformats.org/drawingml/2006/main" w="19050">
                <a:solidFill>
                  <a:srgbClr val="C00000"/>
                </a:solidFill>
                <a:prstDash val="solid"/>
              </a:ln>
            </spPr>
          </marker>
          <dLbls>
            <txPr>
              <a:bodyPr xmlns:a="http://schemas.openxmlformats.org/drawingml/2006/main"/>
              <a:p xmlns:a="http://schemas.openxmlformats.org/drawingml/2006/main">
                <a:pPr>
                  <a:defRPr sz="700" b="1">
                    <a:solidFill>
                      <a:srgbClr val="C00000"/>
                    </a:solidFill>
                  </a:defRPr>
                </a:pPr>
                <a:r>
                  <a:t/>
                </a:r>
                <a:endParaRPr/>
              </a:p>
            </txPr>
            <dLblPos val="t"/>
            <showLegendKey val="0"/>
            <showVal val="0"/>
            <showCatName val="0"/>
            <showSerName val="1"/>
          </dLbls>
          <xVal>
            <numRef>
              <f>'1-Base Plate'!$CL$44</f>
            </numRef>
          </xVal>
          <yVal>
            <numRef>
              <f>'1-Base Plate'!$CM$44</f>
            </numRef>
          </yVal>
          <smooth val="0"/>
        </ser>
        <ser>
          <idx val="21"/>
          <order val="21"/>
          <tx>
            <strRef>
              <f>'1-Base Plate'!$CN$45</f>
            </strRef>
          </tx>
          <spPr>
            <a:ln xmlns:a="http://schemas.openxmlformats.org/drawingml/2006/main">
              <a:noFill/>
              <a:prstDash val="solid"/>
            </a:ln>
          </spPr>
          <marker>
            <symbol val="circle"/>
            <size val="10"/>
            <spPr>
              <a:solidFill xmlns:a="http://schemas.openxmlformats.org/drawingml/2006/main">
                <a:srgbClr val="FFFFFF"/>
              </a:solidFill>
              <a:ln xmlns:a="http://schemas.openxmlformats.org/drawingml/2006/main" w="19050">
                <a:solidFill>
                  <a:srgbClr val="C00000"/>
                </a:solidFill>
                <a:prstDash val="solid"/>
              </a:ln>
            </spPr>
          </marker>
          <dLbls>
            <txPr>
              <a:bodyPr xmlns:a="http://schemas.openxmlformats.org/drawingml/2006/main"/>
              <a:p xmlns:a="http://schemas.openxmlformats.org/drawingml/2006/main">
                <a:pPr>
                  <a:defRPr sz="700" b="1">
                    <a:solidFill>
                      <a:srgbClr val="C00000"/>
                    </a:solidFill>
                  </a:defRPr>
                </a:pPr>
                <a:r>
                  <a:t/>
                </a:r>
                <a:endParaRPr/>
              </a:p>
            </txPr>
            <dLblPos val="t"/>
            <showLegendKey val="0"/>
            <showVal val="0"/>
            <showCatName val="0"/>
            <showSerName val="1"/>
          </dLbls>
          <xVal>
            <numRef>
              <f>'1-Base Plate'!$CL$45</f>
            </numRef>
          </xVal>
          <yVal>
            <numRef>
              <f>'1-Base Plate'!$CM$45</f>
            </numRef>
          </yVal>
          <smooth val="0"/>
        </ser>
        <ser>
          <idx val="22"/>
          <order val="22"/>
          <tx>
            <strRef>
              <f>'1-Base Plate'!$CN$46</f>
            </strRef>
          </tx>
          <spPr>
            <a:ln xmlns:a="http://schemas.openxmlformats.org/drawingml/2006/main">
              <a:noFill/>
              <a:prstDash val="solid"/>
            </a:ln>
          </spPr>
          <marker>
            <symbol val="circle"/>
            <size val="10"/>
            <spPr>
              <a:solidFill xmlns:a="http://schemas.openxmlformats.org/drawingml/2006/main">
                <a:srgbClr val="FFFFFF"/>
              </a:solidFill>
              <a:ln xmlns:a="http://schemas.openxmlformats.org/drawingml/2006/main" w="19050">
                <a:solidFill>
                  <a:srgbClr val="C00000"/>
                </a:solidFill>
                <a:prstDash val="solid"/>
              </a:ln>
            </spPr>
          </marker>
          <dLbls>
            <txPr>
              <a:bodyPr xmlns:a="http://schemas.openxmlformats.org/drawingml/2006/main"/>
              <a:p xmlns:a="http://schemas.openxmlformats.org/drawingml/2006/main">
                <a:pPr>
                  <a:defRPr sz="700" b="1">
                    <a:solidFill>
                      <a:srgbClr val="C00000"/>
                    </a:solidFill>
                  </a:defRPr>
                </a:pPr>
                <a:r>
                  <a:t/>
                </a:r>
                <a:endParaRPr/>
              </a:p>
            </txPr>
            <dLblPos val="t"/>
            <showLegendKey val="0"/>
            <showVal val="0"/>
            <showCatName val="0"/>
            <showSerName val="1"/>
          </dLbls>
          <xVal>
            <numRef>
              <f>'1-Base Plate'!$CL$46</f>
            </numRef>
          </xVal>
          <yVal>
            <numRef>
              <f>'1-Base Plate'!$CM$46</f>
            </numRef>
          </yVal>
          <smooth val="0"/>
        </ser>
        <ser>
          <idx val="23"/>
          <order val="23"/>
          <tx>
            <strRef>
              <f>'1-Base Plate'!$CN$47</f>
            </strRef>
          </tx>
          <spPr>
            <a:ln xmlns:a="http://schemas.openxmlformats.org/drawingml/2006/main">
              <a:noFill/>
              <a:prstDash val="solid"/>
            </a:ln>
          </spPr>
          <marker>
            <symbol val="circle"/>
            <size val="10"/>
            <spPr>
              <a:solidFill xmlns:a="http://schemas.openxmlformats.org/drawingml/2006/main">
                <a:srgbClr val="FFFFFF"/>
              </a:solidFill>
              <a:ln xmlns:a="http://schemas.openxmlformats.org/drawingml/2006/main" w="19050">
                <a:solidFill>
                  <a:srgbClr val="C00000"/>
                </a:solidFill>
                <a:prstDash val="solid"/>
              </a:ln>
            </spPr>
          </marker>
          <dLbls>
            <txPr>
              <a:bodyPr xmlns:a="http://schemas.openxmlformats.org/drawingml/2006/main"/>
              <a:p xmlns:a="http://schemas.openxmlformats.org/drawingml/2006/main">
                <a:pPr>
                  <a:defRPr sz="700" b="1">
                    <a:solidFill>
                      <a:srgbClr val="C00000"/>
                    </a:solidFill>
                  </a:defRPr>
                </a:pPr>
                <a:r>
                  <a:t/>
                </a:r>
                <a:endParaRPr/>
              </a:p>
            </txPr>
            <dLblPos val="t"/>
            <showLegendKey val="0"/>
            <showVal val="0"/>
            <showCatName val="0"/>
            <showSerName val="1"/>
          </dLbls>
          <xVal>
            <numRef>
              <f>'1-Base Plate'!$CL$47</f>
            </numRef>
          </xVal>
          <yVal>
            <numRef>
              <f>'1-Base Plate'!$CM$47</f>
            </numRef>
          </yVal>
          <smooth val="0"/>
        </ser>
        <ser>
          <idx val="24"/>
          <order val="24"/>
          <tx>
            <strRef>
              <f>'1-Base Plate'!$CN$48</f>
            </strRef>
          </tx>
          <spPr>
            <a:ln xmlns:a="http://schemas.openxmlformats.org/drawingml/2006/main">
              <a:noFill/>
              <a:prstDash val="solid"/>
            </a:ln>
          </spPr>
          <marker>
            <symbol val="circle"/>
            <size val="10"/>
            <spPr>
              <a:solidFill xmlns:a="http://schemas.openxmlformats.org/drawingml/2006/main">
                <a:srgbClr val="FFFFFF"/>
              </a:solidFill>
              <a:ln xmlns:a="http://schemas.openxmlformats.org/drawingml/2006/main" w="19050">
                <a:solidFill>
                  <a:srgbClr val="C00000"/>
                </a:solidFill>
                <a:prstDash val="solid"/>
              </a:ln>
            </spPr>
          </marker>
          <dLbls>
            <txPr>
              <a:bodyPr xmlns:a="http://schemas.openxmlformats.org/drawingml/2006/main"/>
              <a:p xmlns:a="http://schemas.openxmlformats.org/drawingml/2006/main">
                <a:pPr>
                  <a:defRPr sz="700" b="1">
                    <a:solidFill>
                      <a:srgbClr val="C00000"/>
                    </a:solidFill>
                  </a:defRPr>
                </a:pPr>
                <a:r>
                  <a:t/>
                </a:r>
                <a:endParaRPr/>
              </a:p>
            </txPr>
            <dLblPos val="t"/>
            <showLegendKey val="0"/>
            <showVal val="0"/>
            <showCatName val="0"/>
            <showSerName val="1"/>
          </dLbls>
          <xVal>
            <numRef>
              <f>'1-Base Plate'!$CL$48</f>
            </numRef>
          </xVal>
          <yVal>
            <numRef>
              <f>'1-Base Plate'!$CM$48</f>
            </numRef>
          </yVal>
          <smooth val="0"/>
        </ser>
        <ser>
          <idx val="25"/>
          <order val="25"/>
          <tx>
            <v>Bolt cross</v>
          </tx>
          <spPr>
            <a:ln xmlns:a="http://schemas.openxmlformats.org/drawingml/2006/main">
              <a:noFill/>
              <a:prstDash val="solid"/>
            </a:ln>
          </spPr>
          <marker>
            <symbol val="plus"/>
            <size val="10"/>
            <spPr>
              <a:noFill xmlns:a="http://schemas.openxmlformats.org/drawingml/2006/main"/>
              <a:ln xmlns:a="http://schemas.openxmlformats.org/drawingml/2006/main" w="15875">
                <a:solidFill>
                  <a:srgbClr val="C00000"/>
                </a:solidFill>
                <a:prstDash val="solid"/>
              </a:ln>
            </spPr>
          </marker>
          <xVal>
            <numRef>
              <f>'1-Base Plate'!$CL$37:$CL$48</f>
            </numRef>
          </xVal>
          <yVal>
            <numRef>
              <f>'1-Base Plate'!$CM$37:$CM$48</f>
            </numRef>
          </yVal>
          <smooth val="0"/>
        </ser>
        <axId val="10"/>
        <axId val="20"/>
      </scatterChart>
      <valAx>
        <axId val="10"/>
        <scaling>
          <orientation val="minMax"/>
          <max val="0.9888888888888889"/>
          <min val="-0.9888888888888889"/>
        </scaling>
        <delete val="1"/>
        <axPos val="l"/>
        <majorTickMark val="none"/>
        <minorTickMark val="none"/>
        <crossAx val="20"/>
      </valAx>
      <valAx>
        <axId val="20"/>
        <scaling>
          <orientation val="minMax"/>
          <max val="1"/>
          <min val="-1"/>
        </scaling>
        <delete val="1"/>
        <axPos val="l"/>
        <majorTickMark val="none"/>
        <minorTickMark val="none"/>
        <crossAx val="10"/>
      </valAx>
    </plotArea>
    <plotVisOnly val="0"/>
    <dispBlanksAs val="gap"/>
  </chart>
</chartSpace>
</file>

<file path=xl/charts/chart2.xml><?xml version="1.0" encoding="utf-8"?>
<chartSpace xmlns="http://schemas.openxmlformats.org/drawingml/2006/chart">
  <chart>
    <plotArea>
      <scatterChart>
        <scatterStyle val="lineMarker"/>
        <ser>
          <idx val="0"/>
          <order val="0"/>
          <tx>
            <v>Pedestal</v>
          </tx>
          <spPr>
            <a:ln xmlns:a="http://schemas.openxmlformats.org/drawingml/2006/main" w="31750">
              <a:solidFill>
                <a:srgbClr val="595959"/>
              </a:solidFill>
              <a:prstDash val="solid"/>
            </a:ln>
          </spPr>
          <marker>
            <symbol val="none"/>
            <spPr>
              <a:ln xmlns:a="http://schemas.openxmlformats.org/drawingml/2006/main">
                <a:prstDash val="solid"/>
              </a:ln>
            </spPr>
          </marker>
          <xVal>
            <numRef>
              <f>'3-Pedestal'!$BP$25:$BP$29</f>
            </numRef>
          </xVal>
          <yVal>
            <numRef>
              <f>'3-Pedestal'!$BQ$25:$BQ$29</f>
            </numRef>
          </yVal>
          <smooth val="0"/>
        </ser>
        <ser>
          <idx val="1"/>
          <order val="1"/>
          <tx>
            <v>Ties</v>
          </tx>
          <spPr>
            <a:ln xmlns:a="http://schemas.openxmlformats.org/drawingml/2006/main" w="12700">
              <a:solidFill>
                <a:srgbClr val="70AD47"/>
              </a:solidFill>
              <a:prstDash val="solid"/>
            </a:ln>
          </spPr>
          <marker>
            <symbol val="none"/>
            <spPr>
              <a:ln xmlns:a="http://schemas.openxmlformats.org/drawingml/2006/main">
                <a:prstDash val="solid"/>
              </a:ln>
            </spPr>
          </marker>
          <xVal>
            <numRef>
              <f>'3-Pedestal'!$BT$25:$BT$29</f>
            </numRef>
          </xVal>
          <yVal>
            <numRef>
              <f>'3-Pedestal'!$BU$25:$BU$29</f>
            </numRef>
          </yVal>
          <smooth val="0"/>
        </ser>
        <ser>
          <idx val="2"/>
          <order val="2"/>
          <tx>
            <v>Base plate</v>
          </tx>
          <spPr>
            <a:ln xmlns:a="http://schemas.openxmlformats.org/drawingml/2006/main" w="15875">
              <a:solidFill>
                <a:srgbClr val="1F4E79"/>
              </a:solidFill>
              <a:prstDash val="dash"/>
            </a:ln>
          </spPr>
          <marker>
            <symbol val="none"/>
            <spPr>
              <a:ln xmlns:a="http://schemas.openxmlformats.org/drawingml/2006/main">
                <a:prstDash val="solid"/>
              </a:ln>
            </spPr>
          </marker>
          <xVal>
            <numRef>
              <f>'3-Pedestal'!$BR$25:$BR$29</f>
            </numRef>
          </xVal>
          <yVal>
            <numRef>
              <f>'3-Pedestal'!$BS$25:$BS$29</f>
            </numRef>
          </yVal>
          <smooth val="0"/>
        </ser>
        <ser>
          <idx val="3"/>
          <order val="3"/>
          <tx>
            <v>X axis</v>
          </tx>
          <spPr>
            <a:ln xmlns:a="http://schemas.openxmlformats.org/drawingml/2006/main" w="9525">
              <a:solidFill>
                <a:srgbClr val="A6A6A6"/>
              </a:solidFill>
              <a:prstDash val="dashDot"/>
            </a:ln>
          </spPr>
          <marker>
            <symbol val="none"/>
            <spPr>
              <a:ln xmlns:a="http://schemas.openxmlformats.org/drawingml/2006/main">
                <a:prstDash val="solid"/>
              </a:ln>
            </spPr>
          </marker>
          <xVal>
            <numRef>
              <f>'3-Pedestal'!$BX$25:$BX$26</f>
            </numRef>
          </xVal>
          <yVal>
            <numRef>
              <f>'3-Pedestal'!$BY$25:$BY$26</f>
            </numRef>
          </yVal>
          <smooth val="0"/>
        </ser>
        <ser>
          <idx val="4"/>
          <order val="4"/>
          <tx>
            <v>Y axis</v>
          </tx>
          <spPr>
            <a:ln xmlns:a="http://schemas.openxmlformats.org/drawingml/2006/main" w="9525">
              <a:solidFill>
                <a:srgbClr val="A6A6A6"/>
              </a:solidFill>
              <a:prstDash val="dashDot"/>
            </a:ln>
          </spPr>
          <marker>
            <symbol val="none"/>
            <spPr>
              <a:ln xmlns:a="http://schemas.openxmlformats.org/drawingml/2006/main">
                <a:prstDash val="solid"/>
              </a:ln>
            </spPr>
          </marker>
          <xVal>
            <numRef>
              <f>'3-Pedestal'!$BX$27:$BX$28</f>
            </numRef>
          </xVal>
          <yVal>
            <numRef>
              <f>'3-Pedestal'!$BY$27:$BY$28</f>
            </numRef>
          </yVal>
          <smooth val="0"/>
        </ser>
        <ser>
          <idx val="5"/>
          <order val="5"/>
          <tx>
            <v>Main bars</v>
          </tx>
          <spPr>
            <a:ln xmlns:a="http://schemas.openxmlformats.org/drawingml/2006/main">
              <a:noFill/>
              <a:prstDash val="solid"/>
            </a:ln>
          </spPr>
          <marker>
            <symbol val="circle"/>
            <size val="5"/>
            <spPr>
              <a:solidFill xmlns:a="http://schemas.openxmlformats.org/drawingml/2006/main">
                <a:srgbClr val="000000"/>
              </a:solidFill>
              <a:ln xmlns:a="http://schemas.openxmlformats.org/drawingml/2006/main" w="9525">
                <a:solidFill>
                  <a:srgbClr val="000000"/>
                </a:solidFill>
                <a:prstDash val="solid"/>
              </a:ln>
            </spPr>
          </marker>
          <xVal>
            <numRef>
              <f>'3-Pedestal'!$CG$25:$CG$84</f>
            </numRef>
          </xVal>
          <yVal>
            <numRef>
              <f>'3-Pedestal'!$CH$25:$CH$84</f>
            </numRef>
          </yVal>
          <smooth val="0"/>
        </ser>
        <ser>
          <idx val="6"/>
          <order val="6"/>
          <tx>
            <strRef>
              <f>'3-Pedestal'!$CN$25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900" b="1">
                    <a:solidFill>
                      <a:srgbClr val="595959"/>
                    </a:solidFill>
                  </a:defRPr>
                </a:pPr>
                <a:r>
                  <a:t/>
                </a:r>
                <a:endParaRPr/>
              </a:p>
            </txPr>
            <dLblPos val="r"/>
            <showLegendKey val="0"/>
            <showVal val="0"/>
            <showCatName val="0"/>
            <showSerName val="1"/>
          </dLbls>
          <xVal>
            <numRef>
              <f>'3-Pedestal'!$CL$25</f>
            </numRef>
          </xVal>
          <yVal>
            <numRef>
              <f>'3-Pedestal'!$CM$25</f>
            </numRef>
          </yVal>
          <smooth val="0"/>
        </ser>
        <ser>
          <idx val="7"/>
          <order val="7"/>
          <tx>
            <strRef>
              <f>'3-Pedestal'!$CN$26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900" b="1">
                    <a:solidFill>
                      <a:srgbClr val="595959"/>
                    </a:solidFill>
                  </a:defRPr>
                </a:pPr>
                <a:r>
                  <a:t/>
                </a:r>
                <a:endParaRPr/>
              </a:p>
            </txPr>
            <dLblPos val="t"/>
            <showLegendKey val="0"/>
            <showVal val="0"/>
            <showCatName val="0"/>
            <showSerName val="1"/>
          </dLbls>
          <xVal>
            <numRef>
              <f>'3-Pedestal'!$CL$26</f>
            </numRef>
          </xVal>
          <yVal>
            <numRef>
              <f>'3-Pedestal'!$CM$26</f>
            </numRef>
          </yVal>
          <smooth val="0"/>
        </ser>
        <ser>
          <idx val="8"/>
          <order val="8"/>
          <tx>
            <strRef>
              <f>'3-Pedestal'!$CN$27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0">
                    <a:solidFill>
                      <a:srgbClr val="595959"/>
                    </a:solidFill>
                  </a:defRPr>
                </a:pPr>
                <a:r>
                  <a:t/>
                </a:r>
                <a:endParaRPr/>
              </a:p>
            </txPr>
            <dLblPos val="b"/>
            <showLegendKey val="0"/>
            <showVal val="0"/>
            <showCatName val="0"/>
            <showSerName val="1"/>
          </dLbls>
          <xVal>
            <numRef>
              <f>'3-Pedestal'!$CL$27</f>
            </numRef>
          </xVal>
          <yVal>
            <numRef>
              <f>'3-Pedestal'!$CM$27</f>
            </numRef>
          </yVal>
          <smooth val="0"/>
        </ser>
        <ser>
          <idx val="9"/>
          <order val="9"/>
          <tx>
            <strRef>
              <f>'3-Pedestal'!$CN$28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0">
                    <a:solidFill>
                      <a:srgbClr val="595959"/>
                    </a:solidFill>
                  </a:defRPr>
                </a:pPr>
                <a:r>
                  <a:t/>
                </a:r>
                <a:endParaRPr/>
              </a:p>
            </txPr>
            <dLblPos val="l"/>
            <showLegendKey val="0"/>
            <showVal val="0"/>
            <showCatName val="0"/>
            <showSerName val="1"/>
          </dLbls>
          <xVal>
            <numRef>
              <f>'3-Pedestal'!$CL$28</f>
            </numRef>
          </xVal>
          <yVal>
            <numRef>
              <f>'3-Pedestal'!$CM$28</f>
            </numRef>
          </yVal>
          <smooth val="0"/>
        </ser>
        <ser>
          <idx val="10"/>
          <order val="10"/>
          <tx>
            <strRef>
              <f>'3-Pedestal'!$CK$25</f>
            </strRef>
          </tx>
          <spPr>
            <a:ln xmlns:a="http://schemas.openxmlformats.org/drawingml/2006/main">
              <a:noFill/>
              <a:prstDash val="solid"/>
            </a:ln>
          </spPr>
          <marker>
            <symbol val="circle"/>
            <size val="12"/>
            <spPr>
              <a:solidFill xmlns:a="http://schemas.openxmlformats.org/drawingml/2006/main">
                <a:srgbClr val="FFFFFF"/>
              </a:solidFill>
              <a:ln xmlns:a="http://schemas.openxmlformats.org/drawingml/2006/main" w="22225">
                <a:solidFill>
                  <a:srgbClr val="C00000"/>
                </a:solidFill>
                <a:prstDash val="solid"/>
              </a:ln>
            </spPr>
          </marker>
          <dLbls>
            <txPr>
              <a:bodyPr xmlns:a="http://schemas.openxmlformats.org/drawingml/2006/main"/>
              <a:p xmlns:a="http://schemas.openxmlformats.org/drawingml/2006/main">
                <a:pPr>
                  <a:defRPr sz="750" b="1">
                    <a:solidFill>
                      <a:srgbClr val="C00000"/>
                    </a:solidFill>
                  </a:defRPr>
                </a:pPr>
                <a:r>
                  <a:t/>
                </a:r>
                <a:endParaRPr/>
              </a:p>
            </txPr>
            <dLblPos val="t"/>
            <showLegendKey val="0"/>
            <showVal val="0"/>
            <showCatName val="0"/>
            <showSerName val="1"/>
          </dLbls>
          <xVal>
            <numRef>
              <f>'3-Pedestal'!$CI$25</f>
            </numRef>
          </xVal>
          <yVal>
            <numRef>
              <f>'3-Pedestal'!$CJ$25</f>
            </numRef>
          </yVal>
          <smooth val="0"/>
        </ser>
        <ser>
          <idx val="11"/>
          <order val="11"/>
          <tx>
            <strRef>
              <f>'3-Pedestal'!$CK$26</f>
            </strRef>
          </tx>
          <spPr>
            <a:ln xmlns:a="http://schemas.openxmlformats.org/drawingml/2006/main">
              <a:noFill/>
              <a:prstDash val="solid"/>
            </a:ln>
          </spPr>
          <marker>
            <symbol val="circle"/>
            <size val="12"/>
            <spPr>
              <a:solidFill xmlns:a="http://schemas.openxmlformats.org/drawingml/2006/main">
                <a:srgbClr val="FFFFFF"/>
              </a:solidFill>
              <a:ln xmlns:a="http://schemas.openxmlformats.org/drawingml/2006/main" w="22225">
                <a:solidFill>
                  <a:srgbClr val="C00000"/>
                </a:solidFill>
                <a:prstDash val="solid"/>
              </a:ln>
            </spPr>
          </marker>
          <dLbls>
            <txPr>
              <a:bodyPr xmlns:a="http://schemas.openxmlformats.org/drawingml/2006/main"/>
              <a:p xmlns:a="http://schemas.openxmlformats.org/drawingml/2006/main">
                <a:pPr>
                  <a:defRPr sz="750" b="1">
                    <a:solidFill>
                      <a:srgbClr val="C00000"/>
                    </a:solidFill>
                  </a:defRPr>
                </a:pPr>
                <a:r>
                  <a:t/>
                </a:r>
                <a:endParaRPr/>
              </a:p>
            </txPr>
            <dLblPos val="t"/>
            <showLegendKey val="0"/>
            <showVal val="0"/>
            <showCatName val="0"/>
            <showSerName val="1"/>
          </dLbls>
          <xVal>
            <numRef>
              <f>'3-Pedestal'!$CI$26</f>
            </numRef>
          </xVal>
          <yVal>
            <numRef>
              <f>'3-Pedestal'!$CJ$26</f>
            </numRef>
          </yVal>
          <smooth val="0"/>
        </ser>
        <ser>
          <idx val="12"/>
          <order val="12"/>
          <tx>
            <strRef>
              <f>'3-Pedestal'!$CK$27</f>
            </strRef>
          </tx>
          <spPr>
            <a:ln xmlns:a="http://schemas.openxmlformats.org/drawingml/2006/main">
              <a:noFill/>
              <a:prstDash val="solid"/>
            </a:ln>
          </spPr>
          <marker>
            <symbol val="circle"/>
            <size val="12"/>
            <spPr>
              <a:solidFill xmlns:a="http://schemas.openxmlformats.org/drawingml/2006/main">
                <a:srgbClr val="FFFFFF"/>
              </a:solidFill>
              <a:ln xmlns:a="http://schemas.openxmlformats.org/drawingml/2006/main" w="22225">
                <a:solidFill>
                  <a:srgbClr val="C00000"/>
                </a:solidFill>
                <a:prstDash val="solid"/>
              </a:ln>
            </spPr>
          </marker>
          <dLbls>
            <txPr>
              <a:bodyPr xmlns:a="http://schemas.openxmlformats.org/drawingml/2006/main"/>
              <a:p xmlns:a="http://schemas.openxmlformats.org/drawingml/2006/main">
                <a:pPr>
                  <a:defRPr sz="750" b="1">
                    <a:solidFill>
                      <a:srgbClr val="C00000"/>
                    </a:solidFill>
                  </a:defRPr>
                </a:pPr>
                <a:r>
                  <a:t/>
                </a:r>
                <a:endParaRPr/>
              </a:p>
            </txPr>
            <dLblPos val="t"/>
            <showLegendKey val="0"/>
            <showVal val="0"/>
            <showCatName val="0"/>
            <showSerName val="1"/>
          </dLbls>
          <xVal>
            <numRef>
              <f>'3-Pedestal'!$CI$27</f>
            </numRef>
          </xVal>
          <yVal>
            <numRef>
              <f>'3-Pedestal'!$CJ$27</f>
            </numRef>
          </yVal>
          <smooth val="0"/>
        </ser>
        <ser>
          <idx val="13"/>
          <order val="13"/>
          <tx>
            <strRef>
              <f>'3-Pedestal'!$CK$28</f>
            </strRef>
          </tx>
          <spPr>
            <a:ln xmlns:a="http://schemas.openxmlformats.org/drawingml/2006/main">
              <a:noFill/>
              <a:prstDash val="solid"/>
            </a:ln>
          </spPr>
          <marker>
            <symbol val="circle"/>
            <size val="12"/>
            <spPr>
              <a:solidFill xmlns:a="http://schemas.openxmlformats.org/drawingml/2006/main">
                <a:srgbClr val="FFFFFF"/>
              </a:solidFill>
              <a:ln xmlns:a="http://schemas.openxmlformats.org/drawingml/2006/main" w="22225">
                <a:solidFill>
                  <a:srgbClr val="C00000"/>
                </a:solidFill>
                <a:prstDash val="solid"/>
              </a:ln>
            </spPr>
          </marker>
          <dLbls>
            <txPr>
              <a:bodyPr xmlns:a="http://schemas.openxmlformats.org/drawingml/2006/main"/>
              <a:p xmlns:a="http://schemas.openxmlformats.org/drawingml/2006/main">
                <a:pPr>
                  <a:defRPr sz="750" b="1">
                    <a:solidFill>
                      <a:srgbClr val="C00000"/>
                    </a:solidFill>
                  </a:defRPr>
                </a:pPr>
                <a:r>
                  <a:t/>
                </a:r>
                <a:endParaRPr/>
              </a:p>
            </txPr>
            <dLblPos val="t"/>
            <showLegendKey val="0"/>
            <showVal val="0"/>
            <showCatName val="0"/>
            <showSerName val="1"/>
          </dLbls>
          <xVal>
            <numRef>
              <f>'3-Pedestal'!$CI$28</f>
            </numRef>
          </xVal>
          <yVal>
            <numRef>
              <f>'3-Pedestal'!$CJ$28</f>
            </numRef>
          </yVal>
          <smooth val="0"/>
        </ser>
        <ser>
          <idx val="14"/>
          <order val="14"/>
          <tx>
            <strRef>
              <f>'3-Pedestal'!$CK$29</f>
            </strRef>
          </tx>
          <spPr>
            <a:ln xmlns:a="http://schemas.openxmlformats.org/drawingml/2006/main">
              <a:noFill/>
              <a:prstDash val="solid"/>
            </a:ln>
          </spPr>
          <marker>
            <symbol val="circle"/>
            <size val="12"/>
            <spPr>
              <a:solidFill xmlns:a="http://schemas.openxmlformats.org/drawingml/2006/main">
                <a:srgbClr val="FFFFFF"/>
              </a:solidFill>
              <a:ln xmlns:a="http://schemas.openxmlformats.org/drawingml/2006/main" w="22225">
                <a:solidFill>
                  <a:srgbClr val="C00000"/>
                </a:solidFill>
                <a:prstDash val="solid"/>
              </a:ln>
            </spPr>
          </marker>
          <dLbls>
            <txPr>
              <a:bodyPr xmlns:a="http://schemas.openxmlformats.org/drawingml/2006/main"/>
              <a:p xmlns:a="http://schemas.openxmlformats.org/drawingml/2006/main">
                <a:pPr>
                  <a:defRPr sz="750" b="1">
                    <a:solidFill>
                      <a:srgbClr val="C00000"/>
                    </a:solidFill>
                  </a:defRPr>
                </a:pPr>
                <a:r>
                  <a:t/>
                </a:r>
                <a:endParaRPr/>
              </a:p>
            </txPr>
            <dLblPos val="t"/>
            <showLegendKey val="0"/>
            <showVal val="0"/>
            <showCatName val="0"/>
            <showSerName val="1"/>
          </dLbls>
          <xVal>
            <numRef>
              <f>'3-Pedestal'!$CI$29</f>
            </numRef>
          </xVal>
          <yVal>
            <numRef>
              <f>'3-Pedestal'!$CJ$29</f>
            </numRef>
          </yVal>
          <smooth val="0"/>
        </ser>
        <ser>
          <idx val="15"/>
          <order val="15"/>
          <tx>
            <strRef>
              <f>'3-Pedestal'!$CK$30</f>
            </strRef>
          </tx>
          <spPr>
            <a:ln xmlns:a="http://schemas.openxmlformats.org/drawingml/2006/main">
              <a:noFill/>
              <a:prstDash val="solid"/>
            </a:ln>
          </spPr>
          <marker>
            <symbol val="circle"/>
            <size val="12"/>
            <spPr>
              <a:solidFill xmlns:a="http://schemas.openxmlformats.org/drawingml/2006/main">
                <a:srgbClr val="FFFFFF"/>
              </a:solidFill>
              <a:ln xmlns:a="http://schemas.openxmlformats.org/drawingml/2006/main" w="22225">
                <a:solidFill>
                  <a:srgbClr val="C00000"/>
                </a:solidFill>
                <a:prstDash val="solid"/>
              </a:ln>
            </spPr>
          </marker>
          <dLbls>
            <txPr>
              <a:bodyPr xmlns:a="http://schemas.openxmlformats.org/drawingml/2006/main"/>
              <a:p xmlns:a="http://schemas.openxmlformats.org/drawingml/2006/main">
                <a:pPr>
                  <a:defRPr sz="750" b="1">
                    <a:solidFill>
                      <a:srgbClr val="C00000"/>
                    </a:solidFill>
                  </a:defRPr>
                </a:pPr>
                <a:r>
                  <a:t/>
                </a:r>
                <a:endParaRPr/>
              </a:p>
            </txPr>
            <dLblPos val="t"/>
            <showLegendKey val="0"/>
            <showVal val="0"/>
            <showCatName val="0"/>
            <showSerName val="1"/>
          </dLbls>
          <xVal>
            <numRef>
              <f>'3-Pedestal'!$CI$30</f>
            </numRef>
          </xVal>
          <yVal>
            <numRef>
              <f>'3-Pedestal'!$CJ$30</f>
            </numRef>
          </yVal>
          <smooth val="0"/>
        </ser>
        <ser>
          <idx val="16"/>
          <order val="16"/>
          <tx>
            <strRef>
              <f>'3-Pedestal'!$CK$31</f>
            </strRef>
          </tx>
          <spPr>
            <a:ln xmlns:a="http://schemas.openxmlformats.org/drawingml/2006/main">
              <a:noFill/>
              <a:prstDash val="solid"/>
            </a:ln>
          </spPr>
          <marker>
            <symbol val="circle"/>
            <size val="12"/>
            <spPr>
              <a:solidFill xmlns:a="http://schemas.openxmlformats.org/drawingml/2006/main">
                <a:srgbClr val="FFFFFF"/>
              </a:solidFill>
              <a:ln xmlns:a="http://schemas.openxmlformats.org/drawingml/2006/main" w="22225">
                <a:solidFill>
                  <a:srgbClr val="C00000"/>
                </a:solidFill>
                <a:prstDash val="solid"/>
              </a:ln>
            </spPr>
          </marker>
          <dLbls>
            <txPr>
              <a:bodyPr xmlns:a="http://schemas.openxmlformats.org/drawingml/2006/main"/>
              <a:p xmlns:a="http://schemas.openxmlformats.org/drawingml/2006/main">
                <a:pPr>
                  <a:defRPr sz="750" b="1">
                    <a:solidFill>
                      <a:srgbClr val="C00000"/>
                    </a:solidFill>
                  </a:defRPr>
                </a:pPr>
                <a:r>
                  <a:t/>
                </a:r>
                <a:endParaRPr/>
              </a:p>
            </txPr>
            <dLblPos val="t"/>
            <showLegendKey val="0"/>
            <showVal val="0"/>
            <showCatName val="0"/>
            <showSerName val="1"/>
          </dLbls>
          <xVal>
            <numRef>
              <f>'3-Pedestal'!$CI$31</f>
            </numRef>
          </xVal>
          <yVal>
            <numRef>
              <f>'3-Pedestal'!$CJ$31</f>
            </numRef>
          </yVal>
          <smooth val="0"/>
        </ser>
        <ser>
          <idx val="17"/>
          <order val="17"/>
          <tx>
            <strRef>
              <f>'3-Pedestal'!$CK$32</f>
            </strRef>
          </tx>
          <spPr>
            <a:ln xmlns:a="http://schemas.openxmlformats.org/drawingml/2006/main">
              <a:noFill/>
              <a:prstDash val="solid"/>
            </a:ln>
          </spPr>
          <marker>
            <symbol val="circle"/>
            <size val="12"/>
            <spPr>
              <a:solidFill xmlns:a="http://schemas.openxmlformats.org/drawingml/2006/main">
                <a:srgbClr val="FFFFFF"/>
              </a:solidFill>
              <a:ln xmlns:a="http://schemas.openxmlformats.org/drawingml/2006/main" w="22225">
                <a:solidFill>
                  <a:srgbClr val="C00000"/>
                </a:solidFill>
                <a:prstDash val="solid"/>
              </a:ln>
            </spPr>
          </marker>
          <dLbls>
            <txPr>
              <a:bodyPr xmlns:a="http://schemas.openxmlformats.org/drawingml/2006/main"/>
              <a:p xmlns:a="http://schemas.openxmlformats.org/drawingml/2006/main">
                <a:pPr>
                  <a:defRPr sz="750" b="1">
                    <a:solidFill>
                      <a:srgbClr val="C00000"/>
                    </a:solidFill>
                  </a:defRPr>
                </a:pPr>
                <a:r>
                  <a:t/>
                </a:r>
                <a:endParaRPr/>
              </a:p>
            </txPr>
            <dLblPos val="t"/>
            <showLegendKey val="0"/>
            <showVal val="0"/>
            <showCatName val="0"/>
            <showSerName val="1"/>
          </dLbls>
          <xVal>
            <numRef>
              <f>'3-Pedestal'!$CI$32</f>
            </numRef>
          </xVal>
          <yVal>
            <numRef>
              <f>'3-Pedestal'!$CJ$32</f>
            </numRef>
          </yVal>
          <smooth val="0"/>
        </ser>
        <ser>
          <idx val="18"/>
          <order val="18"/>
          <tx>
            <strRef>
              <f>'3-Pedestal'!$CK$33</f>
            </strRef>
          </tx>
          <spPr>
            <a:ln xmlns:a="http://schemas.openxmlformats.org/drawingml/2006/main">
              <a:noFill/>
              <a:prstDash val="solid"/>
            </a:ln>
          </spPr>
          <marker>
            <symbol val="circle"/>
            <size val="12"/>
            <spPr>
              <a:solidFill xmlns:a="http://schemas.openxmlformats.org/drawingml/2006/main">
                <a:srgbClr val="FFFFFF"/>
              </a:solidFill>
              <a:ln xmlns:a="http://schemas.openxmlformats.org/drawingml/2006/main" w="22225">
                <a:solidFill>
                  <a:srgbClr val="C00000"/>
                </a:solidFill>
                <a:prstDash val="solid"/>
              </a:ln>
            </spPr>
          </marker>
          <dLbls>
            <txPr>
              <a:bodyPr xmlns:a="http://schemas.openxmlformats.org/drawingml/2006/main"/>
              <a:p xmlns:a="http://schemas.openxmlformats.org/drawingml/2006/main">
                <a:pPr>
                  <a:defRPr sz="750" b="1">
                    <a:solidFill>
                      <a:srgbClr val="C00000"/>
                    </a:solidFill>
                  </a:defRPr>
                </a:pPr>
                <a:r>
                  <a:t/>
                </a:r>
                <a:endParaRPr/>
              </a:p>
            </txPr>
            <dLblPos val="t"/>
            <showLegendKey val="0"/>
            <showVal val="0"/>
            <showCatName val="0"/>
            <showSerName val="1"/>
          </dLbls>
          <xVal>
            <numRef>
              <f>'3-Pedestal'!$CI$33</f>
            </numRef>
          </xVal>
          <yVal>
            <numRef>
              <f>'3-Pedestal'!$CJ$33</f>
            </numRef>
          </yVal>
          <smooth val="0"/>
        </ser>
        <ser>
          <idx val="19"/>
          <order val="19"/>
          <tx>
            <strRef>
              <f>'3-Pedestal'!$CK$34</f>
            </strRef>
          </tx>
          <spPr>
            <a:ln xmlns:a="http://schemas.openxmlformats.org/drawingml/2006/main">
              <a:noFill/>
              <a:prstDash val="solid"/>
            </a:ln>
          </spPr>
          <marker>
            <symbol val="circle"/>
            <size val="12"/>
            <spPr>
              <a:solidFill xmlns:a="http://schemas.openxmlformats.org/drawingml/2006/main">
                <a:srgbClr val="FFFFFF"/>
              </a:solidFill>
              <a:ln xmlns:a="http://schemas.openxmlformats.org/drawingml/2006/main" w="22225">
                <a:solidFill>
                  <a:srgbClr val="C00000"/>
                </a:solidFill>
                <a:prstDash val="solid"/>
              </a:ln>
            </spPr>
          </marker>
          <dLbls>
            <txPr>
              <a:bodyPr xmlns:a="http://schemas.openxmlformats.org/drawingml/2006/main"/>
              <a:p xmlns:a="http://schemas.openxmlformats.org/drawingml/2006/main">
                <a:pPr>
                  <a:defRPr sz="750" b="1">
                    <a:solidFill>
                      <a:srgbClr val="C00000"/>
                    </a:solidFill>
                  </a:defRPr>
                </a:pPr>
                <a:r>
                  <a:t/>
                </a:r>
                <a:endParaRPr/>
              </a:p>
            </txPr>
            <dLblPos val="t"/>
            <showLegendKey val="0"/>
            <showVal val="0"/>
            <showCatName val="0"/>
            <showSerName val="1"/>
          </dLbls>
          <xVal>
            <numRef>
              <f>'3-Pedestal'!$CI$34</f>
            </numRef>
          </xVal>
          <yVal>
            <numRef>
              <f>'3-Pedestal'!$CJ$34</f>
            </numRef>
          </yVal>
          <smooth val="0"/>
        </ser>
        <ser>
          <idx val="20"/>
          <order val="20"/>
          <tx>
            <strRef>
              <f>'3-Pedestal'!$CK$35</f>
            </strRef>
          </tx>
          <spPr>
            <a:ln xmlns:a="http://schemas.openxmlformats.org/drawingml/2006/main">
              <a:noFill/>
              <a:prstDash val="solid"/>
            </a:ln>
          </spPr>
          <marker>
            <symbol val="circle"/>
            <size val="12"/>
            <spPr>
              <a:solidFill xmlns:a="http://schemas.openxmlformats.org/drawingml/2006/main">
                <a:srgbClr val="FFFFFF"/>
              </a:solidFill>
              <a:ln xmlns:a="http://schemas.openxmlformats.org/drawingml/2006/main" w="22225">
                <a:solidFill>
                  <a:srgbClr val="C00000"/>
                </a:solidFill>
                <a:prstDash val="solid"/>
              </a:ln>
            </spPr>
          </marker>
          <dLbls>
            <txPr>
              <a:bodyPr xmlns:a="http://schemas.openxmlformats.org/drawingml/2006/main"/>
              <a:p xmlns:a="http://schemas.openxmlformats.org/drawingml/2006/main">
                <a:pPr>
                  <a:defRPr sz="750" b="1">
                    <a:solidFill>
                      <a:srgbClr val="C00000"/>
                    </a:solidFill>
                  </a:defRPr>
                </a:pPr>
                <a:r>
                  <a:t/>
                </a:r>
                <a:endParaRPr/>
              </a:p>
            </txPr>
            <dLblPos val="t"/>
            <showLegendKey val="0"/>
            <showVal val="0"/>
            <showCatName val="0"/>
            <showSerName val="1"/>
          </dLbls>
          <xVal>
            <numRef>
              <f>'3-Pedestal'!$CI$35</f>
            </numRef>
          </xVal>
          <yVal>
            <numRef>
              <f>'3-Pedestal'!$CJ$35</f>
            </numRef>
          </yVal>
          <smooth val="0"/>
        </ser>
        <ser>
          <idx val="21"/>
          <order val="21"/>
          <tx>
            <strRef>
              <f>'3-Pedestal'!$CK$36</f>
            </strRef>
          </tx>
          <spPr>
            <a:ln xmlns:a="http://schemas.openxmlformats.org/drawingml/2006/main">
              <a:noFill/>
              <a:prstDash val="solid"/>
            </a:ln>
          </spPr>
          <marker>
            <symbol val="circle"/>
            <size val="12"/>
            <spPr>
              <a:solidFill xmlns:a="http://schemas.openxmlformats.org/drawingml/2006/main">
                <a:srgbClr val="FFFFFF"/>
              </a:solidFill>
              <a:ln xmlns:a="http://schemas.openxmlformats.org/drawingml/2006/main" w="22225">
                <a:solidFill>
                  <a:srgbClr val="C00000"/>
                </a:solidFill>
                <a:prstDash val="solid"/>
              </a:ln>
            </spPr>
          </marker>
          <dLbls>
            <txPr>
              <a:bodyPr xmlns:a="http://schemas.openxmlformats.org/drawingml/2006/main"/>
              <a:p xmlns:a="http://schemas.openxmlformats.org/drawingml/2006/main">
                <a:pPr>
                  <a:defRPr sz="750" b="1">
                    <a:solidFill>
                      <a:srgbClr val="C00000"/>
                    </a:solidFill>
                  </a:defRPr>
                </a:pPr>
                <a:r>
                  <a:t/>
                </a:r>
                <a:endParaRPr/>
              </a:p>
            </txPr>
            <dLblPos val="t"/>
            <showLegendKey val="0"/>
            <showVal val="0"/>
            <showCatName val="0"/>
            <showSerName val="1"/>
          </dLbls>
          <xVal>
            <numRef>
              <f>'3-Pedestal'!$CI$36</f>
            </numRef>
          </xVal>
          <yVal>
            <numRef>
              <f>'3-Pedestal'!$CJ$36</f>
            </numRef>
          </yVal>
          <smooth val="0"/>
        </ser>
        <ser>
          <idx val="22"/>
          <order val="22"/>
          <tx>
            <v>Bolt cross</v>
          </tx>
          <spPr>
            <a:ln xmlns:a="http://schemas.openxmlformats.org/drawingml/2006/main">
              <a:noFill/>
              <a:prstDash val="solid"/>
            </a:ln>
          </spPr>
          <marker>
            <symbol val="plus"/>
            <size val="12"/>
            <spPr>
              <a:noFill xmlns:a="http://schemas.openxmlformats.org/drawingml/2006/main"/>
              <a:ln xmlns:a="http://schemas.openxmlformats.org/drawingml/2006/main" w="19050">
                <a:solidFill>
                  <a:srgbClr val="C00000"/>
                </a:solidFill>
                <a:prstDash val="solid"/>
              </a:ln>
            </spPr>
          </marker>
          <xVal>
            <numRef>
              <f>'3-Pedestal'!$CI$25:$CI$36</f>
            </numRef>
          </xVal>
          <yVal>
            <numRef>
              <f>'3-Pedestal'!$CJ$25:$CJ$36</f>
            </numRef>
          </yVal>
          <smooth val="0"/>
        </ser>
        <axId val="10"/>
        <axId val="20"/>
      </scatterChart>
      <valAx>
        <axId val="10"/>
        <scaling>
          <orientation val="minMax"/>
          <max val="1.273584905660377"/>
          <min val="-1.273584905660377"/>
        </scaling>
        <delete val="1"/>
        <axPos val="l"/>
        <majorTickMark val="none"/>
        <minorTickMark val="none"/>
        <crossAx val="20"/>
      </valAx>
      <valAx>
        <axId val="20"/>
        <scaling>
          <orientation val="minMax"/>
          <max val="1"/>
          <min val="-1"/>
        </scaling>
        <delete val="1"/>
        <axPos val="l"/>
        <majorTickMark val="none"/>
        <minorTickMark val="none"/>
        <crossAx val="10"/>
      </valAx>
    </plotArea>
    <plotVisOnly val="0"/>
    <dispBlanksAs val="gap"/>
  </chart>
</chartSpace>
</file>

<file path=xl/comments/comment1.xml><?xml version="1.0" encoding="utf-8"?>
<comments xmlns="http://schemas.openxmlformats.org/spreadsheetml/2006/main">
  <authors>
    <author>M.MUSTAFA</author>
  </authors>
  <commentList>
    <comment ref="C8" authorId="0" shapeId="0">
      <text>
        <t>ASD: enter SERVICE loads.
LRFD: enter FACTORED loads.</t>
      </text>
    </comment>
    <comment ref="C9" authorId="0" shapeId="0">
      <text>
        <t>Column: enter the column forces N, M, V - the sheet finds the force on every bolt.
IDEA: type the force of every bolt (T, Vx, Vy) directly from IDEA StatiCa - prying is then taken as already included.</t>
      </text>
    </comment>
    <comment ref="C10" authorId="0" shapeId="0">
      <text>
        <t>I-Section: rolled or built-up I / H.
Box: RHS / SHS or built-up box (tf = flange walls, tw = web walls).
Pipe: CHS - h = outside diameter, tf = wall thickness.</t>
      </text>
    </comment>
    <comment ref="C11" authorId="0" shapeId="0">
      <text>
        <t>Major: moment about the strong axis - bending along h (X).
Minor: moment about the weak axis - bending along b (Y).
For moments in both directions use Forces Input = IDEA.</t>
      </text>
    </comment>
    <comment ref="C12" authorId="0" shapeId="0">
      <text>
        <t>Depth h along X.  Pipe: outside diameter D.</t>
      </text>
    </comment>
    <comment ref="C13" authorId="0" shapeId="0">
      <text>
        <t>Flange width b along Y.  Not used for a pipe.</t>
      </text>
    </comment>
    <comment ref="C14" authorId="0" shapeId="0">
      <text>
        <t>Flange thickness (Box: flange walls, Pipe: wall thickness).</t>
      </text>
    </comment>
    <comment ref="C15" authorId="0" shapeId="0">
      <text>
        <t>Web thickness (Box: web walls). Not used for a pipe.</t>
      </text>
    </comment>
    <comment ref="C17" authorId="0" shapeId="0">
      <text>
        <t>Plate length along X (along h). Plate, column and pedestal are concentric.</t>
      </text>
    </comment>
    <comment ref="C19" authorId="0" shapeId="0">
      <text>
        <t>Base plate thickness to be checked.</t>
      </text>
    </comment>
    <comment ref="C21" authorId="0" shapeId="0">
      <text>
        <t>Fillet weld leg size all around the column profile.</t>
      </text>
    </comment>
    <comment ref="C23" authorId="0" shapeId="0">
      <text>
        <t>Pedestal dimension along X (concrete under the base plate).</t>
      </text>
    </comment>
    <comment ref="C25" authorId="0" shapeId="0">
      <text>
        <t>Bolt diameter is entered on sheet 2 (used here for the bolt stiffness n·As and the prying force).</t>
      </text>
    </comment>
    <comment ref="C31" authorId="0" shapeId="0">
      <text>
        <t>Moment at the base plate (t.m). A negative value reverses the side in compression.</t>
      </text>
    </comment>
  </commentList>
</comments>
</file>

<file path=xl/comments/comment2.xml><?xml version="1.0" encoding="utf-8"?>
<comments xmlns="http://schemas.openxmlformats.org/spreadsheetml/2006/main">
  <authors>
    <author>M.MUSTAFA</author>
  </authors>
  <commentList>
    <comment ref="C8" authorId="0" shapeId="0">
      <text>
        <t>From sheet 1.</t>
      </text>
    </comment>
    <comment ref="C10" authorId="0" shapeId="0">
      <text>
        <t>From sheet 1: the largest bolt force  T + Q  (tension + prying).</t>
      </text>
    </comment>
    <comment ref="C11" authorId="0" shapeId="0">
      <text>
        <t>Embedded length of the bolt, from the top of concrete down to the washer plate.</t>
      </text>
    </comment>
    <comment ref="C13" authorId="0" shapeId="0">
      <text>
        <t>From sheet 1.</t>
      </text>
    </comment>
    <comment ref="C14" authorId="0" shapeId="0">
      <text>
        <t>No (recommended): washer plate is designed for the full bolt force.
Yes: bond along the bolt is deducted first (ECP 203).</t>
      </text>
    </comment>
    <comment ref="C15" authorId="0" shapeId="0">
      <text>
        <t>Calculated: smallest diameter that satisfies concrete bearing, not less than 2.5 x bolt diameter.</t>
      </text>
    </comment>
    <comment ref="C28" authorId="0" shapeId="0">
      <text>
        <t>fbu = 0.30 sqrt(fcu/1.5) N/mm2 (ECP 203), /1.5 ASD or /1.2 LRFD, divided by 0.75 for U-shape and for deformed bars.</t>
      </text>
    </comment>
    <comment ref="E32" authorId="0" shapeId="0">
      <text>
        <t>Contact bearing of the nut on the washer: 1.8Fy, phi 0.75 / Omega 2.0 (AISC 360 J7).</t>
      </text>
    </comment>
    <comment ref="B38" authorId="0" shapeId="0">
      <text>
        <t>ASD: 0.72Fy for plates bent about the minor axis (ECP 205).
LRFD: phi Mp = 0.9 Fy t2/4 (AISC Design Guide 1), written as 1.35Fy on the elastic modulus.</t>
      </text>
    </comment>
    <comment ref="C50" authorId="0" shapeId="0">
      <text>
        <t>ECP 205: ASD qb = 0.25 Fub ; LRFD 0.75 x 0.40 Fub - on the stress area 0.78 Ag (threads in the shear plane).
Shear per bolt = largest V from sheet 1.</t>
      </text>
    </comment>
    <comment ref="B53" authorId="0" shapeId="0">
      <text>
        <t>From sheet 1: smallest distance from a bolt to the pedestal face.</t>
      </text>
    </comment>
  </commentList>
</comments>
</file>

<file path=xl/comments/comment3.xml><?xml version="1.0" encoding="utf-8"?>
<comments xmlns="http://schemas.openxmlformats.org/spreadsheetml/2006/main">
  <authors>
    <author>M.MUSTAFA</author>
  </authors>
  <commentList>
    <comment ref="C8" authorId="0" shapeId="0">
      <text>
        <t>Reinforced: anchor reinforcement carries the bolt forces when the concrete alone is not enough (ACI 17.5.2.1), and the pedestal is designed for N + M.
Plain: concrete must satisfy every check.</t>
      </text>
    </comment>
    <comment ref="F8" authorId="0" shapeId="0">
      <text>
        <t>fy = 3600 / 4000 / 2400 kg/cm2</t>
      </text>
    </comment>
    <comment ref="C9" authorId="0" shapeId="0">
      <text>
        <t>Height from the top of the footing to the top of the pedestal (moment at the pedestal base = M + V × H).</t>
      </text>
    </comment>
    <comment ref="F53" authorId="0" shapeId="0">
      <text>
        <t>Safe: concrete alone carries the tension.
By Rft.: anchor reinforcement carries it (see Reinforcement Details).
Un-Safe: plain pedestal is not enough.</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_orig.xml.rels><?xml version="1.0" encoding="UTF-8" standalone="yes"?>
<Relationships xmlns="http://schemas.openxmlformats.org/package/2006/relationships"><Relationship Id="rId3" Type="http://schemas.openxmlformats.org/officeDocument/2006/relationships/image" Target="../media/orig_image3.png"/><Relationship Id="rId2" Type="http://schemas.openxmlformats.org/officeDocument/2006/relationships/image" Target="../media/orig_image2.png"/><Relationship Id="rId1" Type="http://schemas.openxmlformats.org/officeDocument/2006/relationships/image" Target="../media/orig_image1.png"/><Relationship Id="rId5" Type="http://schemas.openxmlformats.org/officeDocument/2006/relationships/image" Target="../media/orig_image5.png"/><Relationship Id="rId4" Type="http://schemas.openxmlformats.org/officeDocument/2006/relationships/image" Target="../media/orig_image4.png"/></Relationships>
</file>

<file path=xl/drawings/drawing1.xml><?xml version="1.0" encoding="utf-8"?>
<wsDr xmlns="http://schemas.openxmlformats.org/drawingml/2006/spreadsheetDrawing">
  <oneCellAnchor>
    <from>
      <col>4</col>
      <colOff>0</colOff>
      <row>6</row>
      <rowOff>0</rowOff>
    </from>
    <ext cx="3204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col>
      <colOff>0</colOff>
      <row>22</row>
      <rowOff>0</rowOff>
    </from>
    <ext cx="4860000" cy="381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_orig.xml><?xml version="1.0" encoding="utf-8"?>
<xdr:wsDr xmlns:xdr="http://schemas.openxmlformats.org/drawingml/2006/spreadsheetDrawing" xmlns:a="http://schemas.openxmlformats.org/drawingml/2006/main">
  <xdr:twoCellAnchor>
    <xdr:from>
      <xdr:col>6</xdr:col>
      <xdr:colOff>258306</xdr:colOff>
      <xdr:row>6</xdr:row>
      <xdr:rowOff>216774</xdr:rowOff>
    </xdr:from>
    <xdr:to>
      <xdr:col>8</xdr:col>
      <xdr:colOff>350384</xdr:colOff>
      <xdr:row>41</xdr:row>
      <xdr:rowOff>0</xdr:rowOff>
    </xdr:to>
    <xdr:pic>
      <xdr:nvPicPr>
        <xdr:cNvPr id="2" name="Picture 1"/>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248" t="1131" r="3296"/>
        <a:stretch/>
      </xdr:blipFill>
      <xdr:spPr>
        <a:xfrm>
          <a:off x="4677906" y="1397874"/>
          <a:ext cx="1082678" cy="6603126"/>
        </a:xfrm>
        <a:prstGeom prst="rect">
          <a:avLst/>
        </a:prstGeom>
        <a:ln w="28575">
          <a:noFill/>
        </a:ln>
      </xdr:spPr>
    </xdr:pic>
    <xdr:clientData/>
  </xdr:twoCellAnchor>
  <xdr:twoCellAnchor>
    <xdr:from>
      <xdr:col>7</xdr:col>
      <xdr:colOff>165435</xdr:colOff>
      <xdr:row>39</xdr:row>
      <xdr:rowOff>24852</xdr:rowOff>
    </xdr:from>
    <xdr:to>
      <xdr:col>7</xdr:col>
      <xdr:colOff>414130</xdr:colOff>
      <xdr:row>41</xdr:row>
      <xdr:rowOff>79778</xdr:rowOff>
    </xdr:to>
    <xdr:cxnSp macro="">
      <xdr:nvCxnSpPr>
        <xdr:cNvPr id="23" name="Elbow Connector 22"/>
        <xdr:cNvCxnSpPr/>
      </xdr:nvCxnSpPr>
      <xdr:spPr>
        <a:xfrm rot="5400000">
          <a:off x="4875733" y="7779880"/>
          <a:ext cx="435926" cy="248695"/>
        </a:xfrm>
        <a:prstGeom prst="bentConnector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115303</xdr:colOff>
      <xdr:row>36</xdr:row>
      <xdr:rowOff>60158</xdr:rowOff>
    </xdr:from>
    <xdr:to>
      <xdr:col>8</xdr:col>
      <xdr:colOff>411079</xdr:colOff>
      <xdr:row>37</xdr:row>
      <xdr:rowOff>125329</xdr:rowOff>
    </xdr:to>
    <xdr:cxnSp macro="">
      <xdr:nvCxnSpPr>
        <xdr:cNvPr id="10" name="Elbow Connector 9"/>
        <xdr:cNvCxnSpPr/>
      </xdr:nvCxnSpPr>
      <xdr:spPr>
        <a:xfrm flipV="1">
          <a:off x="5529514" y="7158790"/>
          <a:ext cx="295776" cy="255671"/>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6</xdr:col>
      <xdr:colOff>192358</xdr:colOff>
      <xdr:row>43</xdr:row>
      <xdr:rowOff>18585</xdr:rowOff>
    </xdr:from>
    <xdr:to>
      <xdr:col>8</xdr:col>
      <xdr:colOff>436758</xdr:colOff>
      <xdr:row>49</xdr:row>
      <xdr:rowOff>83169</xdr:rowOff>
    </xdr:to>
    <xdr:pic>
      <xdr:nvPicPr>
        <xdr:cNvPr id="4" name="Picture 3"/>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823" r="2718" b="360"/>
        <a:stretch/>
      </xdr:blipFill>
      <xdr:spPr>
        <a:xfrm>
          <a:off x="4611029" y="8451695"/>
          <a:ext cx="1234070" cy="1226634"/>
        </a:xfrm>
        <a:prstGeom prst="ellipse">
          <a:avLst/>
        </a:prstGeom>
      </xdr:spPr>
    </xdr:pic>
    <xdr:clientData/>
  </xdr:twoCellAnchor>
  <xdr:twoCellAnchor>
    <xdr:from>
      <xdr:col>7</xdr:col>
      <xdr:colOff>426120</xdr:colOff>
      <xdr:row>46</xdr:row>
      <xdr:rowOff>55145</xdr:rowOff>
    </xdr:from>
    <xdr:to>
      <xdr:col>8</xdr:col>
      <xdr:colOff>326571</xdr:colOff>
      <xdr:row>48</xdr:row>
      <xdr:rowOff>10205</xdr:rowOff>
    </xdr:to>
    <xdr:cxnSp macro="">
      <xdr:nvCxnSpPr>
        <xdr:cNvPr id="6" name="Straight Arrow Connector 5"/>
        <xdr:cNvCxnSpPr/>
      </xdr:nvCxnSpPr>
      <xdr:spPr>
        <a:xfrm>
          <a:off x="5222638" y="9076681"/>
          <a:ext cx="509371" cy="336060"/>
        </a:xfrm>
        <a:prstGeom prst="straightConnector1">
          <a:avLst/>
        </a:prstGeom>
        <a:ln w="3175">
          <a:prstDash val="lgDashDot"/>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12</xdr:col>
      <xdr:colOff>377573</xdr:colOff>
      <xdr:row>18</xdr:row>
      <xdr:rowOff>24847</xdr:rowOff>
    </xdr:from>
    <xdr:to>
      <xdr:col>15</xdr:col>
      <xdr:colOff>511993</xdr:colOff>
      <xdr:row>32</xdr:row>
      <xdr:rowOff>155076</xdr:rowOff>
    </xdr:to>
    <xdr:pic>
      <xdr:nvPicPr>
        <xdr:cNvPr id="3" name="Picture 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226173" y="3596722"/>
          <a:ext cx="1963220" cy="2825804"/>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11</xdr:col>
      <xdr:colOff>599379</xdr:colOff>
      <xdr:row>21</xdr:row>
      <xdr:rowOff>6566</xdr:rowOff>
    </xdr:from>
    <xdr:to>
      <xdr:col>13</xdr:col>
      <xdr:colOff>91971</xdr:colOff>
      <xdr:row>21</xdr:row>
      <xdr:rowOff>111511</xdr:rowOff>
    </xdr:to>
    <xdr:cxnSp macro="">
      <xdr:nvCxnSpPr>
        <xdr:cNvPr id="7" name="Elbow Connector 6"/>
        <xdr:cNvCxnSpPr/>
      </xdr:nvCxnSpPr>
      <xdr:spPr>
        <a:xfrm rot="10800000" flipV="1">
          <a:off x="7838379" y="4159466"/>
          <a:ext cx="711792" cy="104945"/>
        </a:xfrm>
        <a:prstGeom prst="bentConnector3">
          <a:avLst>
            <a:gd name="adj1" fmla="val 65708"/>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279797</xdr:colOff>
      <xdr:row>20</xdr:row>
      <xdr:rowOff>113109</xdr:rowOff>
    </xdr:from>
    <xdr:to>
      <xdr:col>15</xdr:col>
      <xdr:colOff>583406</xdr:colOff>
      <xdr:row>21</xdr:row>
      <xdr:rowOff>29766</xdr:rowOff>
    </xdr:to>
    <xdr:cxnSp macro="">
      <xdr:nvCxnSpPr>
        <xdr:cNvPr id="17" name="Elbow Connector 16"/>
        <xdr:cNvCxnSpPr/>
      </xdr:nvCxnSpPr>
      <xdr:spPr>
        <a:xfrm flipV="1">
          <a:off x="9941719" y="4101703"/>
          <a:ext cx="303609" cy="107157"/>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309562</xdr:colOff>
      <xdr:row>32</xdr:row>
      <xdr:rowOff>125015</xdr:rowOff>
    </xdr:from>
    <xdr:to>
      <xdr:col>14</xdr:col>
      <xdr:colOff>601266</xdr:colOff>
      <xdr:row>33</xdr:row>
      <xdr:rowOff>101203</xdr:rowOff>
    </xdr:to>
    <xdr:cxnSp macro="">
      <xdr:nvCxnSpPr>
        <xdr:cNvPr id="21" name="Elbow Connector 20"/>
        <xdr:cNvCxnSpPr/>
      </xdr:nvCxnSpPr>
      <xdr:spPr>
        <a:xfrm>
          <a:off x="9364265" y="6423421"/>
          <a:ext cx="291704" cy="166688"/>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361627</xdr:colOff>
      <xdr:row>23</xdr:row>
      <xdr:rowOff>106551</xdr:rowOff>
    </xdr:from>
    <xdr:to>
      <xdr:col>16</xdr:col>
      <xdr:colOff>17468</xdr:colOff>
      <xdr:row>23</xdr:row>
      <xdr:rowOff>109974</xdr:rowOff>
    </xdr:to>
    <xdr:cxnSp macro="">
      <xdr:nvCxnSpPr>
        <xdr:cNvPr id="27" name="Straight Arrow Connector 26"/>
        <xdr:cNvCxnSpPr/>
      </xdr:nvCxnSpPr>
      <xdr:spPr>
        <a:xfrm>
          <a:off x="10044839" y="4643034"/>
          <a:ext cx="266087" cy="342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504825</xdr:colOff>
      <xdr:row>8</xdr:row>
      <xdr:rowOff>161925</xdr:rowOff>
    </xdr:from>
    <xdr:to>
      <xdr:col>6</xdr:col>
      <xdr:colOff>38100</xdr:colOff>
      <xdr:row>10</xdr:row>
      <xdr:rowOff>163857</xdr:rowOff>
    </xdr:to>
    <xdr:pic>
      <xdr:nvPicPr>
        <xdr:cNvPr id="8" name="Picture 7"/>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771775" y="1771650"/>
          <a:ext cx="1685925" cy="401982"/>
        </a:xfrm>
        <a:prstGeom prst="rect">
          <a:avLst/>
        </a:prstGeom>
        <a:ln>
          <a:noFill/>
        </a:ln>
      </xdr:spPr>
    </xdr:pic>
    <xdr:clientData/>
  </xdr:twoCellAnchor>
  <xdr:twoCellAnchor editAs="oneCell">
    <xdr:from>
      <xdr:col>3</xdr:col>
      <xdr:colOff>495300</xdr:colOff>
      <xdr:row>10</xdr:row>
      <xdr:rowOff>179008</xdr:rowOff>
    </xdr:from>
    <xdr:to>
      <xdr:col>6</xdr:col>
      <xdr:colOff>28575</xdr:colOff>
      <xdr:row>13</xdr:row>
      <xdr:rowOff>76200</xdr:rowOff>
    </xdr:to>
    <xdr:pic>
      <xdr:nvPicPr>
        <xdr:cNvPr id="9" name="Picture 8"/>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b="16356"/>
        <a:stretch/>
      </xdr:blipFill>
      <xdr:spPr>
        <a:xfrm>
          <a:off x="2762250" y="2188783"/>
          <a:ext cx="1685925" cy="487742"/>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a.me/201140949980" TargetMode="External" Id="rId1"/><Relationship Type="http://schemas.openxmlformats.org/officeDocument/2006/relationships/hyperlink" Target="https://www.linkedin.com/in/mohamed-mustafa-abdul-hamid-089205258/" TargetMode="External" Id="rId2"/><Relationship Type="http://schemas.openxmlformats.org/officeDocument/2006/relationships/hyperlink" Target="https://www.facebook.com/share/16X4nNWUbW/" TargetMode="External" Id="rId3"/><Relationship Type="http://schemas.openxmlformats.org/officeDocument/2006/relationships/hyperlink" Target="https://mohamedmostafa20-max.github.io/" TargetMode="External" Id="rId4"/><Relationship Type="http://schemas.openxmlformats.org/officeDocument/2006/relationships/drawing" Target="/xl/drawings/drawing1.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a.me/201140949980" TargetMode="External" Id="rId1"/><Relationship Type="http://schemas.openxmlformats.org/officeDocument/2006/relationships/hyperlink" Target="https://www.linkedin.com/in/mohamed-mustafa-abdul-hamid-089205258/" TargetMode="External" Id="rId2"/><Relationship Type="http://schemas.openxmlformats.org/officeDocument/2006/relationships/hyperlink" Target="https://www.facebook.com/share/16X4nNWUbW/" TargetMode="External" Id="rId3"/><Relationship Type="http://schemas.openxmlformats.org/officeDocument/2006/relationships/hyperlink" Target="https://mohamedmostafa20-max.github.io/" TargetMode="External" Id="rId4"/><Relationship Type="http://schemas.openxmlformats.org/officeDocument/2006/relationships/comments" Target="/xl/comments/comment2.xml" Id="comments"/><Relationship Type="http://schemas.openxmlformats.org/officeDocument/2006/relationships/vmlDrawing" Target="/xl/drawings/commentsDrawing2.vml" Id="anysvml"/><Relationship Id="rIdDrwOrig" Type="http://schemas.openxmlformats.org/officeDocument/2006/relationships/drawing" Target="../drawings/drawing_orig.xml"/></Relationships>
</file>

<file path=xl/worksheets/_rels/sheet3.xml.rels><Relationships xmlns="http://schemas.openxmlformats.org/package/2006/relationships"><Relationship Type="http://schemas.openxmlformats.org/officeDocument/2006/relationships/hyperlink" Target="https://wa.me/201140949980" TargetMode="External" Id="rId1"/><Relationship Type="http://schemas.openxmlformats.org/officeDocument/2006/relationships/hyperlink" Target="https://www.linkedin.com/in/mohamed-mustafa-abdul-hamid-089205258/" TargetMode="External" Id="rId2"/><Relationship Type="http://schemas.openxmlformats.org/officeDocument/2006/relationships/hyperlink" Target="https://www.facebook.com/share/16X4nNWUbW/" TargetMode="External" Id="rId3"/><Relationship Type="http://schemas.openxmlformats.org/officeDocument/2006/relationships/hyperlink" Target="https://mohamedmostafa20-max.github.io/" TargetMode="External" Id="rId4"/><Relationship Type="http://schemas.openxmlformats.org/officeDocument/2006/relationships/drawing" Target="/xl/drawings/drawing2.xml" Id="rId5"/><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hyperlink" Target="https://mohamedmostafa20-max.github.io/" TargetMode="External" Id="rId1"/></Relationships>
</file>

<file path=xl/worksheets/sheet1.xml><?xml version="1.0" encoding="utf-8"?>
<worksheet xmlns="http://schemas.openxmlformats.org/spreadsheetml/2006/main">
  <sheetPr>
    <outlinePr summaryBelow="1" summaryRight="1"/>
    <pageSetUpPr fitToPage="1"/>
  </sheetPr>
  <dimension ref="A1:CQ360"/>
  <sheetViews>
    <sheetView tabSelected="1" zoomScale="100" workbookViewId="0">
      <selection activeCell="A1" sqref="A1"/>
    </sheetView>
  </sheetViews>
  <sheetFormatPr baseColWidth="8" defaultRowHeight="15"/>
  <cols>
    <col width="15.140625" customWidth="1" style="16" min="1" max="1"/>
    <col width="9.7109375" customWidth="1" style="16" min="2" max="2"/>
    <col width="9.140625" customWidth="1" style="16" min="3" max="3"/>
    <col width="11.140625" customWidth="1" style="16" min="4" max="4"/>
    <col width="10.42578125" customWidth="1" style="16" min="5" max="5"/>
    <col width="10.7109375" customWidth="1" style="16" min="6" max="6"/>
    <col width="5.7109375" customWidth="1" style="16" min="7" max="7"/>
    <col width="9.5" customWidth="1" style="16" min="8" max="8"/>
    <col width="9.5" customWidth="1" style="16" min="9" max="9"/>
    <col hidden="1" width="13" customWidth="1" style="16" min="22" max="22"/>
    <col hidden="1" width="13" customWidth="1" style="16" min="23" max="23"/>
    <col hidden="1" width="13" customWidth="1" style="16" min="24" max="24"/>
    <col hidden="1" width="13" customWidth="1" style="16" min="25" max="25"/>
    <col hidden="1" width="13" customWidth="1" style="16" min="26" max="26"/>
    <col hidden="1" width="13" customWidth="1" style="16" min="27" max="27"/>
    <col hidden="1" width="13" customWidth="1" style="16" min="28" max="28"/>
    <col hidden="1" width="13" customWidth="1" style="16" min="29" max="29"/>
    <col hidden="1" width="13" customWidth="1" style="16" min="30" max="30"/>
    <col hidden="1" width="13" customWidth="1" style="16" min="31" max="31"/>
    <col hidden="1" width="13" customWidth="1" style="16" min="32" max="32"/>
    <col hidden="1" width="13" customWidth="1" style="16" min="33" max="33"/>
    <col hidden="1" width="13" customWidth="1" style="16" min="34" max="34"/>
    <col hidden="1" width="13" customWidth="1" style="16" min="35" max="35"/>
    <col hidden="1" width="13" customWidth="1" style="16" min="36" max="36"/>
    <col hidden="1" width="13" customWidth="1" style="16" min="37" max="37"/>
    <col hidden="1" width="13" customWidth="1" style="16" min="38" max="38"/>
    <col hidden="1" width="13" customWidth="1" style="16" min="39" max="39"/>
    <col hidden="1" width="13" customWidth="1" style="16" min="40" max="40"/>
    <col hidden="1" width="13" customWidth="1" style="16" min="41" max="41"/>
    <col hidden="1" width="13" customWidth="1" style="16" min="42" max="42"/>
    <col hidden="1" width="13" customWidth="1" style="16" min="43" max="43"/>
    <col hidden="1" width="13" customWidth="1" style="16" min="44" max="44"/>
    <col hidden="1" width="13" customWidth="1" style="16" min="45" max="45"/>
    <col hidden="1" width="13" customWidth="1" style="16" min="46" max="46"/>
    <col hidden="1" width="13" customWidth="1" style="16" min="47" max="47"/>
    <col hidden="1" width="13" customWidth="1" style="16" min="48" max="48"/>
    <col hidden="1" width="13" customWidth="1" style="16" min="49" max="49"/>
    <col hidden="1" width="13" customWidth="1" style="16" min="50" max="50"/>
    <col hidden="1" width="13" customWidth="1" style="16" min="51" max="51"/>
    <col hidden="1" width="13" customWidth="1" style="16" min="52" max="52"/>
    <col hidden="1" width="13" customWidth="1" style="16" min="53" max="53"/>
    <col hidden="1" width="13" customWidth="1" style="16" min="54" max="54"/>
    <col hidden="1" width="13" customWidth="1" style="16" min="55" max="55"/>
    <col hidden="1" width="13" customWidth="1" style="16" min="56" max="56"/>
    <col hidden="1" width="13" customWidth="1" style="16" min="57" max="57"/>
    <col hidden="1" width="13" customWidth="1" style="16" min="58" max="58"/>
    <col hidden="1" width="13" customWidth="1" style="16" min="59" max="59"/>
    <col hidden="1" width="13" customWidth="1" style="16" min="60" max="60"/>
    <col hidden="1" width="13" customWidth="1" style="16" min="61" max="61"/>
    <col hidden="1" width="13" customWidth="1" style="16" min="62" max="62"/>
    <col hidden="1" width="13" customWidth="1" style="16" min="63" max="63"/>
    <col hidden="1" width="13" customWidth="1" style="16" min="64" max="64"/>
    <col hidden="1" width="13" customWidth="1" style="16" min="65" max="65"/>
    <col hidden="1" width="13" customWidth="1" style="16" min="66" max="66"/>
    <col hidden="1" width="13" customWidth="1" style="16" min="67" max="67"/>
    <col hidden="1" width="13" customWidth="1" style="16" min="68" max="68"/>
    <col hidden="1" width="13" customWidth="1" style="16" min="69" max="69"/>
    <col hidden="1" width="13" customWidth="1" style="16" min="70" max="70"/>
    <col hidden="1" width="13" customWidth="1" style="16" min="71" max="71"/>
    <col hidden="1" width="13" customWidth="1" style="16" min="72" max="72"/>
    <col hidden="1" width="13" customWidth="1" style="16" min="73" max="73"/>
    <col hidden="1" width="13" customWidth="1" style="16" min="74" max="74"/>
    <col hidden="1" width="13" customWidth="1" style="16" min="75" max="75"/>
    <col hidden="1" width="13" customWidth="1" style="16" min="76" max="76"/>
    <col hidden="1" width="13" customWidth="1" style="16" min="77" max="77"/>
    <col hidden="1" width="13" customWidth="1" style="16" min="78" max="78"/>
    <col hidden="1" width="13" customWidth="1" style="16" min="79" max="79"/>
    <col hidden="1" width="13" customWidth="1" style="16" min="80" max="80"/>
    <col hidden="1" width="13" customWidth="1" style="16" min="81" max="81"/>
    <col hidden="1" width="13" customWidth="1" style="16" min="82" max="82"/>
    <col hidden="1" width="13" customWidth="1" style="16" min="83" max="83"/>
    <col hidden="1" width="13" customWidth="1" style="16" min="84" max="84"/>
    <col hidden="1" width="13" customWidth="1" style="16" min="85" max="85"/>
    <col hidden="1" width="13" customWidth="1" style="16" min="86" max="86"/>
    <col hidden="1" width="13" customWidth="1" style="16" min="87" max="87"/>
    <col hidden="1" width="13" customWidth="1" style="16" min="88" max="88"/>
    <col hidden="1" width="13" customWidth="1" style="16" min="89" max="89"/>
    <col hidden="1" width="13" customWidth="1" style="16" min="90" max="90"/>
    <col hidden="1" width="13" customWidth="1" style="16" min="91" max="91"/>
    <col hidden="1" width="13" customWidth="1" style="16" min="92" max="92"/>
    <col hidden="1" width="13" customWidth="1" style="16" min="93" max="93"/>
    <col hidden="1" width="13" customWidth="1" style="16" min="94" max="94"/>
    <col hidden="1" width="13" customWidth="1" style="16" min="95" max="95"/>
  </cols>
  <sheetData>
    <row r="1" ht="15.75" customHeight="1" s="16">
      <c r="A1" s="67" t="inlineStr">
        <is>
          <t>MOHAMED MUSTAFA  |  Steel Structures Design</t>
        </is>
      </c>
      <c r="L1" s="5" t="inlineStr">
        <is>
          <t>DESIGN BY :</t>
        </is>
      </c>
      <c r="M1" s="73" t="inlineStr">
        <is>
          <t>ENG. Mohamed Mustafa</t>
        </is>
      </c>
      <c r="N1" s="81" t="n"/>
      <c r="O1" s="81" t="n"/>
      <c r="P1" s="74" t="inlineStr">
        <is>
          <t>REV. NO. :</t>
        </is>
      </c>
      <c r="Q1" s="74" t="n">
        <v>3</v>
      </c>
      <c r="R1" s="74" t="inlineStr">
        <is>
          <t>DATE OF REV :</t>
        </is>
      </c>
      <c r="S1" s="81" t="n"/>
      <c r="T1" s="7" t="n">
        <v>45940</v>
      </c>
    </row>
    <row r="2" ht="15.75" customHeight="1" s="16">
      <c r="A2" s="67" t="inlineStr">
        <is>
          <t>Column Base Plate &amp; Anchor Bolt Forces - ECP 205 (ASD / LRFD)</t>
        </is>
      </c>
      <c r="L2" s="8" t="inlineStr">
        <is>
          <t>Phone</t>
        </is>
      </c>
      <c r="M2" s="82" t="str">
        <f>"01140949980"</f>
        <v>01140949980</v>
      </c>
      <c r="P2" s="83" t="inlineStr">
        <is>
          <t>WhatsApp</t>
        </is>
      </c>
      <c r="Q2" s="84" t="n"/>
      <c r="R2" s="84" t="n"/>
      <c r="S2" s="84" t="n"/>
      <c r="T2" s="85" t="n"/>
    </row>
    <row r="3" ht="15.75" customHeight="1" s="16">
      <c r="A3" s="9" t="inlineStr">
        <is>
          <t>DESIGN BY :</t>
        </is>
      </c>
      <c r="B3" s="70" t="inlineStr">
        <is>
          <t>ENG. Mohamed Mustafa</t>
        </is>
      </c>
      <c r="E3" s="29" t="n"/>
      <c r="F3" s="29" t="n"/>
      <c r="G3" s="29" t="n"/>
      <c r="H3" s="29" t="n"/>
      <c r="I3" s="29" t="n"/>
      <c r="L3" s="86" t="inlineStr">
        <is>
          <t>Linkedin account</t>
        </is>
      </c>
      <c r="M3" s="84" t="n"/>
      <c r="N3" s="84" t="n"/>
      <c r="O3" s="84" t="n"/>
      <c r="P3" s="87" t="inlineStr">
        <is>
          <t>Facebook account</t>
        </is>
      </c>
      <c r="Q3" s="84" t="n"/>
      <c r="R3" s="84" t="n"/>
      <c r="S3" s="84" t="n"/>
      <c r="T3" s="85" t="n"/>
    </row>
    <row r="4">
      <c r="A4" s="72" t="inlineStr">
        <is>
          <t>Project ID. :</t>
        </is>
      </c>
      <c r="C4" s="88" t="n"/>
      <c r="E4" s="29" t="n"/>
      <c r="F4" s="29" t="n"/>
      <c r="G4" s="29" t="n"/>
      <c r="H4" s="29" t="n"/>
      <c r="I4" s="29" t="n"/>
      <c r="L4" s="89" t="inlineStr">
        <is>
          <t>Portfolio</t>
        </is>
      </c>
      <c r="M4" s="90" t="n"/>
      <c r="N4" s="90" t="n"/>
      <c r="O4" s="90" t="n"/>
      <c r="P4" s="90" t="n"/>
      <c r="Q4" s="90" t="n"/>
      <c r="R4" s="90" t="n"/>
      <c r="S4" s="90" t="n"/>
      <c r="T4" s="90" t="n"/>
    </row>
    <row r="5" ht="7.5" customHeight="1" s="16"/>
    <row r="6">
      <c r="A6" s="25" t="inlineStr">
        <is>
          <t>Data Entry</t>
        </is>
      </c>
    </row>
    <row r="7" ht="7.5" customHeight="1" s="16"/>
    <row r="8">
      <c r="A8" s="60" t="inlineStr">
        <is>
          <t>Design Method :</t>
        </is>
      </c>
      <c r="C8" s="91" t="inlineStr">
        <is>
          <t>ASD</t>
        </is>
      </c>
    </row>
    <row r="9">
      <c r="A9" s="60" t="inlineStr">
        <is>
          <t>Forces Input :</t>
        </is>
      </c>
      <c r="C9" s="91" t="inlineStr">
        <is>
          <t>Column</t>
        </is>
      </c>
    </row>
    <row r="10">
      <c r="A10" s="60" t="inlineStr">
        <is>
          <t>Column Section :</t>
        </is>
      </c>
      <c r="C10" s="91" t="inlineStr">
        <is>
          <t>I-Section</t>
        </is>
      </c>
    </row>
    <row r="11">
      <c r="A11" s="60" t="inlineStr">
        <is>
          <t>Moment About :</t>
        </is>
      </c>
      <c r="C11" s="91" t="inlineStr">
        <is>
          <t>Major</t>
        </is>
      </c>
    </row>
    <row r="12">
      <c r="A12" s="60" t="inlineStr">
        <is>
          <t>Section Depth h =</t>
        </is>
      </c>
      <c r="C12" s="91" t="n">
        <v>400</v>
      </c>
      <c r="D12" s="29" t="inlineStr">
        <is>
          <t>mm</t>
        </is>
      </c>
    </row>
    <row r="13">
      <c r="A13" s="60" t="inlineStr">
        <is>
          <t>Section Width b =</t>
        </is>
      </c>
      <c r="C13" s="91" t="n">
        <v>200</v>
      </c>
      <c r="D13" s="29" t="inlineStr">
        <is>
          <t>mm</t>
        </is>
      </c>
    </row>
    <row r="14">
      <c r="A14" s="60" t="inlineStr">
        <is>
          <t>Flange tf =</t>
        </is>
      </c>
      <c r="C14" s="91" t="n">
        <v>14</v>
      </c>
      <c r="D14" s="29" t="inlineStr">
        <is>
          <t>mm</t>
        </is>
      </c>
    </row>
    <row r="15">
      <c r="A15" s="60" t="inlineStr">
        <is>
          <t>Web tw =</t>
        </is>
      </c>
      <c r="C15" s="91" t="n">
        <v>8</v>
      </c>
      <c r="D15" s="29" t="inlineStr">
        <is>
          <t>mm</t>
        </is>
      </c>
    </row>
    <row r="16">
      <c r="A16" s="60" t="inlineStr">
        <is>
          <t>Plate Steel :</t>
        </is>
      </c>
      <c r="C16" s="91" t="inlineStr">
        <is>
          <t>ST 37</t>
        </is>
      </c>
    </row>
    <row r="17">
      <c r="A17" s="60" t="inlineStr">
        <is>
          <t>Base Plate Lx =</t>
        </is>
      </c>
      <c r="C17" s="91" t="n">
        <v>60</v>
      </c>
      <c r="D17" s="29" t="inlineStr">
        <is>
          <t>cm</t>
        </is>
      </c>
    </row>
    <row r="18">
      <c r="A18" s="60" t="inlineStr">
        <is>
          <t>Base Plate Ly =</t>
        </is>
      </c>
      <c r="C18" s="91" t="n">
        <v>30</v>
      </c>
      <c r="D18" s="29" t="inlineStr">
        <is>
          <t>cm</t>
        </is>
      </c>
    </row>
    <row r="19">
      <c r="A19" s="60" t="inlineStr">
        <is>
          <t>Plate Thickness =</t>
        </is>
      </c>
      <c r="C19" s="91" t="n">
        <v>4</v>
      </c>
      <c r="D19" s="29" t="inlineStr">
        <is>
          <t>cm</t>
        </is>
      </c>
    </row>
    <row r="20">
      <c r="A20" s="60" t="inlineStr">
        <is>
          <t>Weld Type :</t>
        </is>
      </c>
      <c r="C20" s="91" t="inlineStr">
        <is>
          <t>Fillet</t>
        </is>
      </c>
    </row>
    <row r="21">
      <c r="A21" s="60" t="inlineStr">
        <is>
          <t>Weld Size s =</t>
        </is>
      </c>
      <c r="C21" s="91" t="n">
        <v>12</v>
      </c>
      <c r="D21" s="29" t="inlineStr">
        <is>
          <t>mm</t>
        </is>
      </c>
    </row>
    <row r="22">
      <c r="A22" s="60" t="inlineStr">
        <is>
          <t>Concrete Fcu =</t>
        </is>
      </c>
      <c r="C22" s="91" t="n">
        <v>250</v>
      </c>
      <c r="D22" s="29" t="inlineStr">
        <is>
          <t>kg/cm2</t>
        </is>
      </c>
    </row>
    <row r="23">
      <c r="A23" s="60" t="inlineStr">
        <is>
          <t>Pedestal Bx =</t>
        </is>
      </c>
      <c r="C23" s="91" t="n">
        <v>80</v>
      </c>
      <c r="D23" s="29" t="inlineStr">
        <is>
          <t>cm</t>
        </is>
      </c>
    </row>
    <row r="24">
      <c r="A24" s="60" t="inlineStr">
        <is>
          <t>Pedestal By =</t>
        </is>
      </c>
      <c r="C24" s="91" t="n">
        <v>60</v>
      </c>
      <c r="D24" s="29" t="inlineStr">
        <is>
          <t>cm</t>
        </is>
      </c>
    </row>
    <row r="25">
      <c r="A25" s="60" t="inlineStr">
        <is>
          <t>Bolt Ø (sheet 2) =</t>
        </is>
      </c>
      <c r="C25" s="92">
        <f>'2-Anchor Bolt'!C12</f>
        <v>30.0</v>
      </c>
      <c r="D25" s="29" t="inlineStr">
        <is>
          <t>mm</t>
        </is>
      </c>
    </row>
    <row r="26">
      <c r="A26" s="60" t="inlineStr">
        <is>
          <t>Base Plate :</t>
        </is>
      </c>
      <c r="C26" s="93" t="str">
        <f>IF($W$61,"By IDEA",IF(AND($W$128,OR(F89="Safe",F89="N/A"),F96="Safe",F101="Safe",OR($W$88&lt;&gt;"C",ISNUMBER($W$90))),"Safe","Check design steps"))</f>
        <v>Safe</v>
      </c>
    </row>
    <row r="27">
      <c r="E27" s="94" t="inlineStr">
        <is>
          <t>Plan to scale - updates with the inputs:</t>
        </is>
      </c>
    </row>
    <row r="28">
      <c r="A28" s="95" t="str">
        <f>IF($C$8="ASD","Column Forces (service) :","Column Forces (factored) :")</f>
        <v>Column Forces (service) :</v>
      </c>
      <c r="E28" s="96" t="inlineStr">
        <is>
          <t>⊕  bolt  ( X , Y )  in cm</t>
        </is>
      </c>
    </row>
    <row r="29">
      <c r="A29" s="60" t="inlineStr">
        <is>
          <t>Axial Force N =</t>
        </is>
      </c>
      <c r="C29" s="91" t="n">
        <v>20</v>
      </c>
      <c r="D29" s="29" t="inlineStr">
        <is>
          <t>ton</t>
        </is>
      </c>
      <c r="E29" s="96" t="inlineStr">
        <is>
          <t>▬  pedestal      - - -  base plate</t>
        </is>
      </c>
    </row>
    <row r="30">
      <c r="A30" s="60" t="inlineStr">
        <is>
          <t>N is :</t>
        </is>
      </c>
      <c r="C30" s="91" t="inlineStr">
        <is>
          <t>Compression</t>
        </is>
      </c>
      <c r="E30" s="96" t="inlineStr">
        <is>
          <t>▬  column profile</t>
        </is>
      </c>
    </row>
    <row r="31">
      <c r="A31" s="60" t="inlineStr">
        <is>
          <t>Moment M =</t>
        </is>
      </c>
      <c r="C31" s="91" t="n">
        <v>8</v>
      </c>
      <c r="D31" s="29" t="inlineStr">
        <is>
          <t>t.m</t>
        </is>
      </c>
      <c r="E31" s="96" t="inlineStr">
        <is>
          <t>- - -  neutral axis (red)</t>
        </is>
      </c>
    </row>
    <row r="32">
      <c r="A32" s="60" t="inlineStr">
        <is>
          <t>Shear Vx =</t>
        </is>
      </c>
      <c r="C32" s="91" t="n">
        <v>3</v>
      </c>
      <c r="D32" s="29" t="inlineStr">
        <is>
          <t>ton</t>
        </is>
      </c>
      <c r="E32" s="96" t="inlineStr">
        <is>
          <t>////  compression zone under the plate</t>
        </is>
      </c>
    </row>
    <row r="33">
      <c r="A33" s="60" t="inlineStr">
        <is>
          <t>Shear Vy =</t>
        </is>
      </c>
      <c r="C33" s="91" t="n">
        <v>1</v>
      </c>
      <c r="D33" s="29" t="inlineStr">
        <is>
          <t>ton</t>
        </is>
      </c>
    </row>
    <row r="34">
      <c r="A34" s="97" t="inlineStr">
        <is>
          <t>(+) M compresses the +X side (Major) / +Y side (Minor)</t>
        </is>
      </c>
    </row>
    <row r="35">
      <c r="A35" s="98" t="inlineStr">
        <is>
          <t>Anchor Bolts Layout :</t>
        </is>
      </c>
      <c r="D35" s="99" t="str">
        <f>IF($C$9="IDEA","Forces per bolt (from IDEA)","IDEA only - not used")</f>
        <v>IDEA only - not used</v>
      </c>
    </row>
    <row r="36">
      <c r="A36" s="53" t="inlineStr">
        <is>
          <t>Bolt No.</t>
        </is>
      </c>
      <c r="B36" s="53" t="inlineStr">
        <is>
          <t>X (cm)</t>
        </is>
      </c>
      <c r="C36" s="53" t="inlineStr">
        <is>
          <t>Y (cm)</t>
        </is>
      </c>
      <c r="D36" s="53" t="inlineStr">
        <is>
          <t>T (ton)</t>
        </is>
      </c>
      <c r="E36" s="53" t="inlineStr">
        <is>
          <t>Vx (ton)</t>
        </is>
      </c>
      <c r="F36" s="53" t="inlineStr">
        <is>
          <t>Vy (ton)</t>
        </is>
      </c>
      <c r="V36" t="inlineStr">
        <is>
          <t>act</t>
        </is>
      </c>
      <c r="W36" t="inlineStr">
        <is>
          <t>x</t>
        </is>
      </c>
      <c r="X36" t="inlineStr">
        <is>
          <t>y</t>
        </is>
      </c>
      <c r="Y36" t="inlineStr">
        <is>
          <t>u</t>
        </is>
      </c>
      <c r="Z36" t="inlineStr">
        <is>
          <t>d</t>
        </is>
      </c>
      <c r="AA36" t="inlineStr">
        <is>
          <t>T stat</t>
        </is>
      </c>
      <c r="AB36" t="inlineStr">
        <is>
          <t>T</t>
        </is>
      </c>
      <c r="AC36" t="inlineStr">
        <is>
          <t>Vx</t>
        </is>
      </c>
      <c r="AD36" t="inlineStr">
        <is>
          <t>Vy</t>
        </is>
      </c>
      <c r="AE36" t="inlineStr">
        <is>
          <t>V</t>
        </is>
      </c>
      <c r="AF36" t="inlineStr">
        <is>
          <t>|x|</t>
        </is>
      </c>
      <c r="AG36" t="inlineStr">
        <is>
          <t>|y|</t>
        </is>
      </c>
      <c r="AH36" t="inlineStr">
        <is>
          <t>outX</t>
        </is>
      </c>
      <c r="AI36" t="inlineStr">
        <is>
          <t>outY</t>
        </is>
      </c>
      <c r="AJ36" t="inlineStr">
        <is>
          <t>r</t>
        </is>
      </c>
      <c r="AK36" t="inlineStr">
        <is>
          <t>dirX</t>
        </is>
      </c>
      <c r="AL36" t="inlineStr">
        <is>
          <t>b web</t>
        </is>
      </c>
      <c r="AM36" t="inlineStr">
        <is>
          <t>b fl</t>
        </is>
      </c>
      <c r="AN36" t="inlineStr">
        <is>
          <t>b raw</t>
        </is>
      </c>
      <c r="AO36" t="inlineStr">
        <is>
          <t>a raw</t>
        </is>
      </c>
      <c r="AP36" t="inlineStr">
        <is>
          <t>w</t>
        </is>
      </c>
      <c r="AQ36" t="inlineStr">
        <is>
          <t>b</t>
        </is>
      </c>
      <c r="AR36" t="inlineStr">
        <is>
          <t>a</t>
        </is>
      </c>
      <c r="AS36" t="inlineStr">
        <is>
          <t>z</t>
        </is>
      </c>
      <c r="AT36" t="inlineStr">
        <is>
          <t>Q</t>
        </is>
      </c>
      <c r="AU36" t="inlineStr">
        <is>
          <t>T+Q</t>
        </is>
      </c>
      <c r="AV36" t="inlineStr">
        <is>
          <t>Mt/w</t>
        </is>
      </c>
      <c r="AW36" t="inlineStr">
        <is>
          <t>cx</t>
        </is>
      </c>
      <c r="AX36" t="inlineStr">
        <is>
          <t>cy</t>
        </is>
      </c>
      <c r="AY36" t="inlineStr">
        <is>
          <t>c</t>
        </is>
      </c>
      <c r="BA36" t="inlineStr">
        <is>
          <t>pair distances</t>
        </is>
      </c>
      <c r="BM36" t="inlineStr">
        <is>
          <t>in plate</t>
        </is>
      </c>
    </row>
    <row r="37" ht="14.25" customHeight="1" s="16">
      <c r="A37" s="61" t="n">
        <v>1</v>
      </c>
      <c r="B37" s="100" t="n">
        <v>-25</v>
      </c>
      <c r="C37" s="100" t="n">
        <v>-10</v>
      </c>
      <c r="D37" s="100" t="n"/>
      <c r="E37" s="100" t="n"/>
      <c r="F37" s="100" t="n"/>
      <c r="V37" s="101" t="b">
        <f>AND(ISNUMBER(B37),ISNUMBER(C37))</f>
        <v>1</v>
      </c>
      <c r="W37" s="101">
        <f>IF(V37,B37,0)</f>
        <v>-25.0</v>
      </c>
      <c r="X37" s="101">
        <f>IF(V37,C37,0)</f>
        <v>-10.0</v>
      </c>
      <c r="Y37" s="101">
        <f>IF($W$64,W37,X37)</f>
        <v>-25.0</v>
      </c>
      <c r="Z37" s="101">
        <f>IF(V37,$W$71/2-$W$75*Y37,-1)</f>
        <v>55.0</v>
      </c>
      <c r="AA37" s="101">
        <f>IF(V37,IF($W$88="B",$W$86+$W$85*(Z37-$W$82),IF($W$88="C",$W$93*$W$81*MAX(Z37-$W$90,0),0)),0)</f>
        <v>4.05872972669124</v>
      </c>
      <c r="AB37" s="101">
        <f>IF(V37,IF($W$61,MAX(0,N(D37)),MAX(0,AA37)),0)</f>
        <v>4.05872972669124</v>
      </c>
      <c r="AC37" s="101">
        <f>IF(V37,IF($W$61,ABS(N(E37)),ABS(N($C$32))/$W$77),0)</f>
        <v>0.75</v>
      </c>
      <c r="AD37" s="101">
        <f>IF(V37,IF($W$61,ABS(N(F37)),ABS(N($C$33))/$W$77),0)</f>
        <v>0.25</v>
      </c>
      <c r="AE37" s="101">
        <f>SQRT(AC37^2+AD37^2)</f>
        <v>0.790569415042095</v>
      </c>
      <c r="AF37" s="101">
        <f>ABS(W37)</f>
        <v>25.0</v>
      </c>
      <c r="AG37" s="101">
        <f>ABS(X37)</f>
        <v>10.0</v>
      </c>
      <c r="AH37" s="101" t="b">
        <f>AF37&gt;$W$69</f>
        <v>1</v>
      </c>
      <c r="AI37" s="101" t="b">
        <f>AG37&gt;$W$70</f>
        <v>0</v>
      </c>
      <c r="AJ37" s="101">
        <f>SQRT(W37^2+X37^2)</f>
        <v>26.9258240356725</v>
      </c>
      <c r="AK37" s="101" t="b">
        <f>IF(AND(AH37,AI37),$W$64,AH37)</f>
        <v>1</v>
      </c>
      <c r="AL37" s="101">
        <f>IF($W$63,AG37-$W$68/2,($W$70-$W$68)-AG37)</f>
        <v>9.6</v>
      </c>
      <c r="AM37" s="101">
        <f>($W$69-$W$67)-AF37</f>
        <v>-6.4</v>
      </c>
      <c r="AN37" s="101">
        <f>IF($W$62,IF(AJ37&gt;$W$65/2,AJ37-$W$65/2,$W$65/2-$W$67-AJ37),IF(OR(AH37,AI37),IF(AK37,AF37-$W$69,AG37-$W$70),MIN(AL37,AM37)))</f>
        <v>5.0</v>
      </c>
      <c r="AO37" s="101">
        <f>IF($W$62,IF(AJ37&gt;$W$65/2,MIN($C$17/2-AF37,$C$18/2-AG37),1.25*AN37),IF(OR(AH37,AI37),IF(AK37,$C$17/2-AF37,$C$18/2-AG37),IF(AND(AL37&lt;=AM37,$W$63),$C$18/2-AG37,1.25*AN37)))</f>
        <v>5.0</v>
      </c>
      <c r="AP37" s="101">
        <f>IF(V37,IF($W$62,2*PI()*MAX(AJ37,0.1)/$W$77,IF(OR(AH37,AI37),IF(AK37,$C$18/SUMPRODUCT(--($V$37:$V$48),--($W$37:$W$48=W37)),$C$17/SUMPRODUCT(--($V$37:$V$48),--($X$37:$X$48=X37))),IF(AL37&lt;=AM37,($W$65-2*$W$67)/SUMPRODUCT(--($V$37:$V$48),--($X$37:$X$48=X37)),IF($W$63,$W$66,$W$66-2*$W$68)/SUMPRODUCT(--($V$37:$V$48),--($W$37:$W$48=W37))))),1)</f>
        <v>15.0</v>
      </c>
      <c r="AQ37" s="101">
        <f>MAX(0.1,AN37)</f>
        <v>5.0</v>
      </c>
      <c r="AR37" s="101">
        <f>MAX(0.1,MIN(AO37,1.25*AQ37))</f>
        <v>5.0</v>
      </c>
      <c r="AS37" s="101">
        <f>AP37*$C$19^4/(AR37*AQ37^2*$W$78)</f>
        <v>5.57178330687524</v>
      </c>
      <c r="AT37" s="101">
        <f>IF(AND(V37,NOT($W$61),AB37&gt;0),MAX(0,AB37*(0.5-AS37/30)/((3*AR37/(4*AQ37)+1)*(AR37/(3*AQ37)+1)+AS37/6)),0)</f>
        <v>0.391038289787621</v>
      </c>
      <c r="AU37" s="101">
        <f>AB37+AT37</f>
        <v>4.44976801647886</v>
      </c>
      <c r="AV37" s="101">
        <f>IF(AB37&gt;0,MAX(AB37*AQ37-AT37*AR37,AT37*AR37)/AP37,0)</f>
        <v>1.22256381230121</v>
      </c>
      <c r="AW37" s="101">
        <f>$C$23/2-AF37</f>
        <v>15.0</v>
      </c>
      <c r="AX37" s="101">
        <f>$C$24/2-AG37</f>
        <v>20.0</v>
      </c>
      <c r="AY37" s="101">
        <f>IF(V37,MIN(AW37,AX37),"")</f>
        <v>15.0</v>
      </c>
      <c r="BB37" s="101">
        <f>IF(AND(V37,V38),SQRT((W37-W38)^2+(X37-X38)^2),"")</f>
        <v>50.0</v>
      </c>
      <c r="BC37" s="101">
        <f>IF(AND(V37,V39),SQRT((W37-W39)^2+(X37-X39)^2),"")</f>
        <v>53.851648071345</v>
      </c>
      <c r="BD37" s="101">
        <f>IF(AND(V37,V40),SQRT((W37-W40)^2+(X37-X40)^2),"")</f>
        <v>20.0</v>
      </c>
      <c r="BE37" s="101">
        <f>IF(AND(V37,V41),SQRT((W37-W41)^2+(X37-X41)^2),"")</f>
        <v/>
      </c>
      <c r="BF37" s="101">
        <f>IF(AND(V37,V42),SQRT((W37-W42)^2+(X37-X42)^2),"")</f>
        <v/>
      </c>
      <c r="BG37" s="101">
        <f>IF(AND(V37,V43),SQRT((W37-W43)^2+(X37-X43)^2),"")</f>
        <v/>
      </c>
      <c r="BH37" s="101">
        <f>IF(AND(V37,V44),SQRT((W37-W44)^2+(X37-X44)^2),"")</f>
        <v/>
      </c>
      <c r="BI37" s="101">
        <f>IF(AND(V37,V45),SQRT((W37-W45)^2+(X37-X45)^2),"")</f>
        <v/>
      </c>
      <c r="BJ37" s="101">
        <f>IF(AND(V37,V46),SQRT((W37-W46)^2+(X37-X46)^2),"")</f>
        <v/>
      </c>
      <c r="BK37" s="101">
        <f>IF(AND(V37,V47),SQRT((W37-W47)^2+(X37-X47)^2),"")</f>
        <v/>
      </c>
      <c r="BL37" s="101">
        <f>IF(AND(V37,V48),SQRT((W37-W48)^2+(X37-X48)^2),"")</f>
        <v/>
      </c>
      <c r="BM37" s="101" t="b">
        <f>IF(V37,AND(AF37&lt;=$C$17/2-1.5*'2-Anchor Bolt'!$C$12/10,AG37&lt;=$C$18/2-1.5*'2-Anchor Bolt'!$C$12/10),TRUE)</f>
        <v>1</v>
      </c>
      <c r="BP37" s="101">
        <f>-1*$C$23/2/$W$126</f>
        <v>-0.833333333333333</v>
      </c>
      <c r="BQ37" s="101">
        <f>-1*$C$24/2/$W$126</f>
        <v>-0.625</v>
      </c>
      <c r="BR37" s="101">
        <f>-1*$C$17/2/$W$126</f>
        <v>-0.625</v>
      </c>
      <c r="BS37" s="101">
        <f>-1*$C$18/2/$W$126</f>
        <v>-0.3125</v>
      </c>
      <c r="BT37" s="101">
        <f>IF($W$62,$W$69*COS((2*PI()*0/36)),IF($W$63,(-1*$W$69+(0)*$W$67),-1*$W$69))/$W$126</f>
        <v>-0.416666666666667</v>
      </c>
      <c r="BU37" s="101">
        <f>IF($W$62,$W$69*SIN((2*PI()*0/36)),IF($W$63,(-1*$W$70),-1*$W$70))/$W$126</f>
        <v>-0.208333333333333</v>
      </c>
      <c r="BV37" s="101">
        <f>IF($W$62,($W$69-$W$67)*COS((2*PI()*0/36)),IF($W$63,-$W$69,-1*($W$69-$W$67)))/$W$126</f>
        <v>-0.416666666666667</v>
      </c>
      <c r="BW37" s="101">
        <f>IF($W$62,($W$69-$W$67)*SIN((2*PI()*0/36)),IF($W$63,-$W$70,-1*($W$70-$W$68)))/$W$126</f>
        <v>-0.208333333333333</v>
      </c>
      <c r="BX37" s="101">
        <f>-($C$23/2+5)/$W$126</f>
        <v>-0.9375</v>
      </c>
      <c r="BY37" t="n">
        <v>0</v>
      </c>
      <c r="CH37" s="101">
        <f>IF(AND($W$88="C",ISNUMBER($W$127)),IF($W$64,$W$127,-1*$C$17/2*1.1),NA())/$W$126</f>
        <v>0.0772313669477929</v>
      </c>
      <c r="CI37" s="101">
        <f>IF(AND($W$88="C",ISNUMBER($W$127)),IF($W$64,-1*$C$18/2*1.1,$W$127),NA())/$W$126</f>
        <v>-0.34375</v>
      </c>
      <c r="CJ37" s="101">
        <f>IF(OR($W$88="A",AND($W$88="C",ISNUMBER($W$127))),IF($W$64,$W$75*$W$71/2,(-$W$72/2+$W$72*0/20)),NA())/$W$126</f>
        <v>0.625</v>
      </c>
      <c r="CK37" s="101">
        <f>IF(OR($W$88="A",AND($W$88="C",ISNUMBER($W$127))),IF($W$64,(-$W$72/2+$W$72*0/20),$W$75*$W$71/2),NA())/$W$126</f>
        <v>-0.3125</v>
      </c>
      <c r="CL37" s="101">
        <f>IF(V37,W37/$W$126,NA())</f>
        <v>-0.520833333333333</v>
      </c>
      <c r="CM37" s="101">
        <f>IF(V37,X37/$W$126,NA())</f>
        <v>-0.208333333333333</v>
      </c>
      <c r="CN37" s="101" t="str">
        <f>IF(V37,"("&amp;TEXT(W37,"0.0")&amp;" , "&amp;TEXT(X37,"0.0")&amp;")","")</f>
        <v>(-25.0 , -10.0)</v>
      </c>
      <c r="CO37" s="101">
        <f>($C$23/2+5)/$W$126</f>
        <v>0.9375</v>
      </c>
      <c r="CP37" t="n">
        <v>0</v>
      </c>
      <c r="CQ37" t="inlineStr">
        <is>
          <t>X</t>
        </is>
      </c>
    </row>
    <row r="38" ht="14.25" customHeight="1" s="16">
      <c r="A38" s="61" t="n">
        <v>2</v>
      </c>
      <c r="B38" s="100" t="n">
        <v>25</v>
      </c>
      <c r="C38" s="100" t="n">
        <v>-10</v>
      </c>
      <c r="D38" s="100" t="n"/>
      <c r="E38" s="100" t="n"/>
      <c r="F38" s="100" t="n"/>
      <c r="V38" s="101" t="b">
        <f>AND(ISNUMBER(B38),ISNUMBER(C38))</f>
        <v>1</v>
      </c>
      <c r="W38" s="101">
        <f>IF(V38,B38,0)</f>
        <v>25.0</v>
      </c>
      <c r="X38" s="101">
        <f>IF(V38,C38,0)</f>
        <v>-10.0</v>
      </c>
      <c r="Y38" s="101">
        <f>IF($W$64,W38,X38)</f>
        <v>25.0</v>
      </c>
      <c r="Z38" s="101">
        <f>IF(V38,$W$71/2-$W$75*Y38,-1)</f>
        <v>5.0</v>
      </c>
      <c r="AA38" s="101">
        <f>IF(V38,IF($W$88="B",$W$86+$W$85*(Z38-$W$82),IF($W$88="C",$W$93*$W$81*MAX(Z38-$W$90,0),0)),0)</f>
        <v>0.0</v>
      </c>
      <c r="AB38" s="101">
        <f>IF(V38,IF($W$61,MAX(0,N(D38)),MAX(0,AA38)),0)</f>
        <v>0.0</v>
      </c>
      <c r="AC38" s="101">
        <f>IF(V38,IF($W$61,ABS(N(E38)),ABS(N($C$32))/$W$77),0)</f>
        <v>0.75</v>
      </c>
      <c r="AD38" s="101">
        <f>IF(V38,IF($W$61,ABS(N(F38)),ABS(N($C$33))/$W$77),0)</f>
        <v>0.25</v>
      </c>
      <c r="AE38" s="101">
        <f>SQRT(AC38^2+AD38^2)</f>
        <v>0.790569415042095</v>
      </c>
      <c r="AF38" s="101">
        <f>ABS(W38)</f>
        <v>25.0</v>
      </c>
      <c r="AG38" s="101">
        <f>ABS(X38)</f>
        <v>10.0</v>
      </c>
      <c r="AH38" s="101" t="b">
        <f>AF38&gt;$W$69</f>
        <v>1</v>
      </c>
      <c r="AI38" s="101" t="b">
        <f>AG38&gt;$W$70</f>
        <v>0</v>
      </c>
      <c r="AJ38" s="101">
        <f>SQRT(W38^2+X38^2)</f>
        <v>26.9258240356725</v>
      </c>
      <c r="AK38" s="101" t="b">
        <f>IF(AND(AH38,AI38),$W$64,AH38)</f>
        <v>1</v>
      </c>
      <c r="AL38" s="101">
        <f>IF($W$63,AG38-$W$68/2,($W$70-$W$68)-AG38)</f>
        <v>9.6</v>
      </c>
      <c r="AM38" s="101">
        <f>($W$69-$W$67)-AF38</f>
        <v>-6.4</v>
      </c>
      <c r="AN38" s="101">
        <f>IF($W$62,IF(AJ38&gt;$W$65/2,AJ38-$W$65/2,$W$65/2-$W$67-AJ38),IF(OR(AH38,AI38),IF(AK38,AF38-$W$69,AG38-$W$70),MIN(AL38,AM38)))</f>
        <v>5.0</v>
      </c>
      <c r="AO38" s="101">
        <f>IF($W$62,IF(AJ38&gt;$W$65/2,MIN($C$17/2-AF38,$C$18/2-AG38),1.25*AN38),IF(OR(AH38,AI38),IF(AK38,$C$17/2-AF38,$C$18/2-AG38),IF(AND(AL38&lt;=AM38,$W$63),$C$18/2-AG38,1.25*AN38)))</f>
        <v>5.0</v>
      </c>
      <c r="AP38" s="101">
        <f>IF(V38,IF($W$62,2*PI()*MAX(AJ38,0.1)/$W$77,IF(OR(AH38,AI38),IF(AK38,$C$18/SUMPRODUCT(--($V$37:$V$48),--($W$37:$W$48=W38)),$C$17/SUMPRODUCT(--($V$37:$V$48),--($X$37:$X$48=X38))),IF(AL38&lt;=AM38,($W$65-2*$W$67)/SUMPRODUCT(--($V$37:$V$48),--($X$37:$X$48=X38)),IF($W$63,$W$66,$W$66-2*$W$68)/SUMPRODUCT(--($V$37:$V$48),--($W$37:$W$48=W38))))),1)</f>
        <v>15.0</v>
      </c>
      <c r="AQ38" s="101">
        <f>MAX(0.1,AN38)</f>
        <v>5.0</v>
      </c>
      <c r="AR38" s="101">
        <f>MAX(0.1,MIN(AO38,1.25*AQ38))</f>
        <v>5.0</v>
      </c>
      <c r="AS38" s="101">
        <f>AP38*$C$19^4/(AR38*AQ38^2*$W$78)</f>
        <v>5.57178330687524</v>
      </c>
      <c r="AT38" s="101">
        <f>IF(AND(V38,NOT($W$61),AB38&gt;0),MAX(0,AB38*(0.5-AS38/30)/((3*AR38/(4*AQ38)+1)*(AR38/(3*AQ38)+1)+AS38/6)),0)</f>
        <v>0.0</v>
      </c>
      <c r="AU38" s="101">
        <f>AB38+AT38</f>
        <v>0.0</v>
      </c>
      <c r="AV38" s="101">
        <f>IF(AB38&gt;0,MAX(AB38*AQ38-AT38*AR38,AT38*AR38)/AP38,0)</f>
        <v>0.0</v>
      </c>
      <c r="AW38" s="101">
        <f>$C$23/2-AF38</f>
        <v>15.0</v>
      </c>
      <c r="AX38" s="101">
        <f>$C$24/2-AG38</f>
        <v>20.0</v>
      </c>
      <c r="AY38" s="101">
        <f>IF(V38,MIN(AW38,AX38),"")</f>
        <v>15.0</v>
      </c>
      <c r="BC38" s="101">
        <f>IF(AND(V38,V39),SQRT((W38-W39)^2+(X38-X39)^2),"")</f>
        <v>20.0</v>
      </c>
      <c r="BD38" s="101">
        <f>IF(AND(V38,V40),SQRT((W38-W40)^2+(X38-X40)^2),"")</f>
        <v>53.851648071345</v>
      </c>
      <c r="BE38" s="101">
        <f>IF(AND(V38,V41),SQRT((W38-W41)^2+(X38-X41)^2),"")</f>
        <v/>
      </c>
      <c r="BF38" s="101">
        <f>IF(AND(V38,V42),SQRT((W38-W42)^2+(X38-X42)^2),"")</f>
        <v/>
      </c>
      <c r="BG38" s="101">
        <f>IF(AND(V38,V43),SQRT((W38-W43)^2+(X38-X43)^2),"")</f>
        <v/>
      </c>
      <c r="BH38" s="101">
        <f>IF(AND(V38,V44),SQRT((W38-W44)^2+(X38-X44)^2),"")</f>
        <v/>
      </c>
      <c r="BI38" s="101">
        <f>IF(AND(V38,V45),SQRT((W38-W45)^2+(X38-X45)^2),"")</f>
        <v/>
      </c>
      <c r="BJ38" s="101">
        <f>IF(AND(V38,V46),SQRT((W38-W46)^2+(X38-X46)^2),"")</f>
        <v/>
      </c>
      <c r="BK38" s="101">
        <f>IF(AND(V38,V47),SQRT((W38-W47)^2+(X38-X47)^2),"")</f>
        <v/>
      </c>
      <c r="BL38" s="101">
        <f>IF(AND(V38,V48),SQRT((W38-W48)^2+(X38-X48)^2),"")</f>
        <v/>
      </c>
      <c r="BM38" s="101" t="b">
        <f>IF(V38,AND(AF38&lt;=$C$17/2-1.5*'2-Anchor Bolt'!$C$12/10,AG38&lt;=$C$18/2-1.5*'2-Anchor Bolt'!$C$12/10),TRUE)</f>
        <v>1</v>
      </c>
      <c r="BP38" s="101">
        <f>1*$C$23/2/$W$126</f>
        <v>0.833333333333333</v>
      </c>
      <c r="BQ38" s="101">
        <f>-1*$C$24/2/$W$126</f>
        <v>-0.625</v>
      </c>
      <c r="BR38" s="101">
        <f>1*$C$17/2/$W$126</f>
        <v>0.625</v>
      </c>
      <c r="BS38" s="101">
        <f>-1*$C$18/2/$W$126</f>
        <v>-0.3125</v>
      </c>
      <c r="BT38" s="101">
        <f>IF($W$62,$W$69*COS((2*PI()*1/36)),IF($W$63,(-1*$W$69+(1)*$W$67),1*$W$69))/$W$126</f>
        <v>-0.3875</v>
      </c>
      <c r="BU38" s="101">
        <f>IF($W$62,$W$69*SIN((2*PI()*1/36)),IF($W$63,(-1*$W$70),-1*$W$70))/$W$126</f>
        <v>-0.208333333333333</v>
      </c>
      <c r="BV38" s="101">
        <f>IF($W$62,($W$69-$W$67)*COS((2*PI()*1/36)),IF($W$63,-$W$69,1*($W$69-$W$67)))/$W$126</f>
        <v>-0.416666666666667</v>
      </c>
      <c r="BW38" s="101">
        <f>IF($W$62,($W$69-$W$67)*SIN((2*PI()*1/36)),IF($W$63,-$W$70,-1*($W$70-$W$68)))/$W$126</f>
        <v>-0.208333333333333</v>
      </c>
      <c r="BX38" s="101">
        <f>($C$23/2+5)/$W$126</f>
        <v>0.9375</v>
      </c>
      <c r="BY38" t="n">
        <v>0</v>
      </c>
      <c r="CH38" s="101">
        <f>IF(AND($W$88="C",ISNUMBER($W$127)),IF($W$64,$W$127,1*$C$17/2*1.1),NA())/$W$126</f>
        <v>0.0772313669477929</v>
      </c>
      <c r="CI38" s="101">
        <f>IF(AND($W$88="C",ISNUMBER($W$127)),IF($W$64,1*$C$18/2*1.1,$W$127),NA())/$W$126</f>
        <v>0.34375</v>
      </c>
      <c r="CJ38" s="101">
        <f>IF(OR($W$88="A",AND($W$88="C",ISNUMBER($W$127))),IF($W$64,IF($W$88="A",-$W$75*$W$71/2,$W$127),(-$W$72/2+$W$72*1/20)),NA())/$W$126</f>
        <v>0.0772313669477929</v>
      </c>
      <c r="CK38" s="101">
        <f>IF(OR($W$88="A",AND($W$88="C",ISNUMBER($W$127))),IF($W$64,(-$W$72/2+$W$72*1/20),IF($W$88="A",-$W$75*$W$71/2,$W$127)),NA())/$W$126</f>
        <v>-0.28125</v>
      </c>
      <c r="CL38" s="101">
        <f>IF(V38,W38/$W$126,NA())</f>
        <v>0.520833333333333</v>
      </c>
      <c r="CM38" s="101">
        <f>IF(V38,X38/$W$126,NA())</f>
        <v>-0.208333333333333</v>
      </c>
      <c r="CN38" s="101" t="str">
        <f>IF(V38,"("&amp;TEXT(W38,"0.0")&amp;" , "&amp;TEXT(X38,"0.0")&amp;")","")</f>
        <v>(25.0 , -10.0)</v>
      </c>
      <c r="CO38" t="n">
        <v>0</v>
      </c>
      <c r="CP38" s="101">
        <f>($C$24/2+5)/$W$126</f>
        <v>0.729166666666667</v>
      </c>
      <c r="CQ38" t="inlineStr">
        <is>
          <t>Y</t>
        </is>
      </c>
    </row>
    <row r="39" ht="14.25" customHeight="1" s="16">
      <c r="A39" s="61" t="n">
        <v>3</v>
      </c>
      <c r="B39" s="100" t="n">
        <v>25</v>
      </c>
      <c r="C39" s="100" t="n">
        <v>10</v>
      </c>
      <c r="D39" s="100" t="n"/>
      <c r="E39" s="100" t="n"/>
      <c r="F39" s="100" t="n"/>
      <c r="V39" s="101" t="b">
        <f>AND(ISNUMBER(B39),ISNUMBER(C39))</f>
        <v>1</v>
      </c>
      <c r="W39" s="101">
        <f>IF(V39,B39,0)</f>
        <v>25.0</v>
      </c>
      <c r="X39" s="101">
        <f>IF(V39,C39,0)</f>
        <v>10.0</v>
      </c>
      <c r="Y39" s="101">
        <f>IF($W$64,W39,X39)</f>
        <v>25.0</v>
      </c>
      <c r="Z39" s="101">
        <f>IF(V39,$W$71/2-$W$75*Y39,-1)</f>
        <v>5.0</v>
      </c>
      <c r="AA39" s="101">
        <f>IF(V39,IF($W$88="B",$W$86+$W$85*(Z39-$W$82),IF($W$88="C",$W$93*$W$81*MAX(Z39-$W$90,0),0)),0)</f>
        <v>0.0</v>
      </c>
      <c r="AB39" s="101">
        <f>IF(V39,IF($W$61,MAX(0,N(D39)),MAX(0,AA39)),0)</f>
        <v>0.0</v>
      </c>
      <c r="AC39" s="101">
        <f>IF(V39,IF($W$61,ABS(N(E39)),ABS(N($C$32))/$W$77),0)</f>
        <v>0.75</v>
      </c>
      <c r="AD39" s="101">
        <f>IF(V39,IF($W$61,ABS(N(F39)),ABS(N($C$33))/$W$77),0)</f>
        <v>0.25</v>
      </c>
      <c r="AE39" s="101">
        <f>SQRT(AC39^2+AD39^2)</f>
        <v>0.790569415042095</v>
      </c>
      <c r="AF39" s="101">
        <f>ABS(W39)</f>
        <v>25.0</v>
      </c>
      <c r="AG39" s="101">
        <f>ABS(X39)</f>
        <v>10.0</v>
      </c>
      <c r="AH39" s="101" t="b">
        <f>AF39&gt;$W$69</f>
        <v>1</v>
      </c>
      <c r="AI39" s="101" t="b">
        <f>AG39&gt;$W$70</f>
        <v>0</v>
      </c>
      <c r="AJ39" s="101">
        <f>SQRT(W39^2+X39^2)</f>
        <v>26.9258240356725</v>
      </c>
      <c r="AK39" s="101" t="b">
        <f>IF(AND(AH39,AI39),$W$64,AH39)</f>
        <v>1</v>
      </c>
      <c r="AL39" s="101">
        <f>IF($W$63,AG39-$W$68/2,($W$70-$W$68)-AG39)</f>
        <v>9.6</v>
      </c>
      <c r="AM39" s="101">
        <f>($W$69-$W$67)-AF39</f>
        <v>-6.4</v>
      </c>
      <c r="AN39" s="101">
        <f>IF($W$62,IF(AJ39&gt;$W$65/2,AJ39-$W$65/2,$W$65/2-$W$67-AJ39),IF(OR(AH39,AI39),IF(AK39,AF39-$W$69,AG39-$W$70),MIN(AL39,AM39)))</f>
        <v>5.0</v>
      </c>
      <c r="AO39" s="101">
        <f>IF($W$62,IF(AJ39&gt;$W$65/2,MIN($C$17/2-AF39,$C$18/2-AG39),1.25*AN39),IF(OR(AH39,AI39),IF(AK39,$C$17/2-AF39,$C$18/2-AG39),IF(AND(AL39&lt;=AM39,$W$63),$C$18/2-AG39,1.25*AN39)))</f>
        <v>5.0</v>
      </c>
      <c r="AP39" s="101">
        <f>IF(V39,IF($W$62,2*PI()*MAX(AJ39,0.1)/$W$77,IF(OR(AH39,AI39),IF(AK39,$C$18/SUMPRODUCT(--($V$37:$V$48),--($W$37:$W$48=W39)),$C$17/SUMPRODUCT(--($V$37:$V$48),--($X$37:$X$48=X39))),IF(AL39&lt;=AM39,($W$65-2*$W$67)/SUMPRODUCT(--($V$37:$V$48),--($X$37:$X$48=X39)),IF($W$63,$W$66,$W$66-2*$W$68)/SUMPRODUCT(--($V$37:$V$48),--($W$37:$W$48=W39))))),1)</f>
        <v>15.0</v>
      </c>
      <c r="AQ39" s="101">
        <f>MAX(0.1,AN39)</f>
        <v>5.0</v>
      </c>
      <c r="AR39" s="101">
        <f>MAX(0.1,MIN(AO39,1.25*AQ39))</f>
        <v>5.0</v>
      </c>
      <c r="AS39" s="101">
        <f>AP39*$C$19^4/(AR39*AQ39^2*$W$78)</f>
        <v>5.57178330687524</v>
      </c>
      <c r="AT39" s="101">
        <f>IF(AND(V39,NOT($W$61),AB39&gt;0),MAX(0,AB39*(0.5-AS39/30)/((3*AR39/(4*AQ39)+1)*(AR39/(3*AQ39)+1)+AS39/6)),0)</f>
        <v>0.0</v>
      </c>
      <c r="AU39" s="101">
        <f>AB39+AT39</f>
        <v>0.0</v>
      </c>
      <c r="AV39" s="101">
        <f>IF(AB39&gt;0,MAX(AB39*AQ39-AT39*AR39,AT39*AR39)/AP39,0)</f>
        <v>0.0</v>
      </c>
      <c r="AW39" s="101">
        <f>$C$23/2-AF39</f>
        <v>15.0</v>
      </c>
      <c r="AX39" s="101">
        <f>$C$24/2-AG39</f>
        <v>20.0</v>
      </c>
      <c r="AY39" s="101">
        <f>IF(V39,MIN(AW39,AX39),"")</f>
        <v>15.0</v>
      </c>
      <c r="BD39" s="101">
        <f>IF(AND(V39,V40),SQRT((W39-W40)^2+(X39-X40)^2),"")</f>
        <v>50.0</v>
      </c>
      <c r="BE39" s="101">
        <f>IF(AND(V39,V41),SQRT((W39-W41)^2+(X39-X41)^2),"")</f>
        <v/>
      </c>
      <c r="BF39" s="101">
        <f>IF(AND(V39,V42),SQRT((W39-W42)^2+(X39-X42)^2),"")</f>
        <v/>
      </c>
      <c r="BG39" s="101">
        <f>IF(AND(V39,V43),SQRT((W39-W43)^2+(X39-X43)^2),"")</f>
        <v/>
      </c>
      <c r="BH39" s="101">
        <f>IF(AND(V39,V44),SQRT((W39-W44)^2+(X39-X44)^2),"")</f>
        <v/>
      </c>
      <c r="BI39" s="101">
        <f>IF(AND(V39,V45),SQRT((W39-W45)^2+(X39-X45)^2),"")</f>
        <v/>
      </c>
      <c r="BJ39" s="101">
        <f>IF(AND(V39,V46),SQRT((W39-W46)^2+(X39-X46)^2),"")</f>
        <v/>
      </c>
      <c r="BK39" s="101">
        <f>IF(AND(V39,V47),SQRT((W39-W47)^2+(X39-X47)^2),"")</f>
        <v/>
      </c>
      <c r="BL39" s="101">
        <f>IF(AND(V39,V48),SQRT((W39-W48)^2+(X39-X48)^2),"")</f>
        <v/>
      </c>
      <c r="BM39" s="101" t="b">
        <f>IF(V39,AND(AF39&lt;=$C$17/2-1.5*'2-Anchor Bolt'!$C$12/10,AG39&lt;=$C$18/2-1.5*'2-Anchor Bolt'!$C$12/10),TRUE)</f>
        <v>1</v>
      </c>
      <c r="BP39" s="101">
        <f>1*$C$23/2/$W$126</f>
        <v>0.833333333333333</v>
      </c>
      <c r="BQ39" s="101">
        <f>1*$C$24/2/$W$126</f>
        <v>0.625</v>
      </c>
      <c r="BR39" s="101">
        <f>1*$C$17/2/$W$126</f>
        <v>0.625</v>
      </c>
      <c r="BS39" s="101">
        <f>1*$C$18/2/$W$126</f>
        <v>0.3125</v>
      </c>
      <c r="BT39" s="101">
        <f>IF($W$62,$W$69*COS((2*PI()*2/36)),IF($W$63,(-1*$W$69+(1)*$W$67),1*$W$69))/$W$126</f>
        <v>-0.3875</v>
      </c>
      <c r="BU39" s="101">
        <f>IF($W$62,$W$69*SIN((2*PI()*2/36)),IF($W$63,((-1)*$W$68/2),1*$W$70))/$W$126</f>
        <v>-0.00833333333333333</v>
      </c>
      <c r="BV39" s="101">
        <f>IF($W$62,($W$69-$W$67)*COS((2*PI()*2/36)),IF($W$63,-$W$69,1*($W$69-$W$67)))/$W$126</f>
        <v>-0.416666666666667</v>
      </c>
      <c r="BW39" s="101">
        <f>IF($W$62,($W$69-$W$67)*SIN((2*PI()*2/36)),IF($W$63,-$W$70,1*($W$70-$W$68)))/$W$126</f>
        <v>-0.208333333333333</v>
      </c>
      <c r="BX39" t="n">
        <v>0</v>
      </c>
      <c r="BY39" s="101">
        <f>-($C$24/2+5)/$W$126</f>
        <v>-0.729166666666667</v>
      </c>
      <c r="CJ39" s="101">
        <f>IF(OR($W$88="A",AND($W$88="C",ISNUMBER($W$127))),IF($W$64,$W$75*$W$71/2,(-$W$72/2+$W$72*2/20)),NA())/$W$126</f>
        <v>0.625</v>
      </c>
      <c r="CK39" s="101">
        <f>IF(OR($W$88="A",AND($W$88="C",ISNUMBER($W$127))),IF($W$64,(-$W$72/2+$W$72*2/20),$W$75*$W$71/2),NA())/$W$126</f>
        <v>-0.25</v>
      </c>
      <c r="CL39" s="101">
        <f>IF(V39,W39/$W$126,NA())</f>
        <v>0.520833333333333</v>
      </c>
      <c r="CM39" s="101">
        <f>IF(V39,X39/$W$126,NA())</f>
        <v>0.208333333333333</v>
      </c>
      <c r="CN39" s="101" t="str">
        <f>IF(V39,"("&amp;TEXT(W39,"0.0")&amp;" , "&amp;TEXT(X39,"0.0")&amp;")","")</f>
        <v>(25.0 , 10.0)</v>
      </c>
      <c r="CO39" t="n">
        <v>0</v>
      </c>
      <c r="CP39" s="101">
        <f>-($C$24/2+1)/$W$126</f>
        <v>-0.645833333333333</v>
      </c>
      <c r="CQ39" s="101" t="str">
        <f>"Bx = "&amp;$C$23&amp;" cm"</f>
        <v>Bx = 80 cm</v>
      </c>
    </row>
    <row r="40" ht="14.25" customHeight="1" s="16">
      <c r="A40" s="61" t="n">
        <v>4</v>
      </c>
      <c r="B40" s="100" t="n">
        <v>-25</v>
      </c>
      <c r="C40" s="100" t="n">
        <v>10</v>
      </c>
      <c r="D40" s="100" t="n"/>
      <c r="E40" s="100" t="n"/>
      <c r="F40" s="100" t="n"/>
      <c r="V40" s="101" t="b">
        <f>AND(ISNUMBER(B40),ISNUMBER(C40))</f>
        <v>1</v>
      </c>
      <c r="W40" s="101">
        <f>IF(V40,B40,0)</f>
        <v>-25.0</v>
      </c>
      <c r="X40" s="101">
        <f>IF(V40,C40,0)</f>
        <v>10.0</v>
      </c>
      <c r="Y40" s="101">
        <f>IF($W$64,W40,X40)</f>
        <v>-25.0</v>
      </c>
      <c r="Z40" s="101">
        <f>IF(V40,$W$71/2-$W$75*Y40,-1)</f>
        <v>55.0</v>
      </c>
      <c r="AA40" s="101">
        <f>IF(V40,IF($W$88="B",$W$86+$W$85*(Z40-$W$82),IF($W$88="C",$W$93*$W$81*MAX(Z40-$W$90,0),0)),0)</f>
        <v>4.05872972669124</v>
      </c>
      <c r="AB40" s="101">
        <f>IF(V40,IF($W$61,MAX(0,N(D40)),MAX(0,AA40)),0)</f>
        <v>4.05872972669124</v>
      </c>
      <c r="AC40" s="101">
        <f>IF(V40,IF($W$61,ABS(N(E40)),ABS(N($C$32))/$W$77),0)</f>
        <v>0.75</v>
      </c>
      <c r="AD40" s="101">
        <f>IF(V40,IF($W$61,ABS(N(F40)),ABS(N($C$33))/$W$77),0)</f>
        <v>0.25</v>
      </c>
      <c r="AE40" s="101">
        <f>SQRT(AC40^2+AD40^2)</f>
        <v>0.790569415042095</v>
      </c>
      <c r="AF40" s="101">
        <f>ABS(W40)</f>
        <v>25.0</v>
      </c>
      <c r="AG40" s="101">
        <f>ABS(X40)</f>
        <v>10.0</v>
      </c>
      <c r="AH40" s="101" t="b">
        <f>AF40&gt;$W$69</f>
        <v>1</v>
      </c>
      <c r="AI40" s="101" t="b">
        <f>AG40&gt;$W$70</f>
        <v>0</v>
      </c>
      <c r="AJ40" s="101">
        <f>SQRT(W40^2+X40^2)</f>
        <v>26.9258240356725</v>
      </c>
      <c r="AK40" s="101" t="b">
        <f>IF(AND(AH40,AI40),$W$64,AH40)</f>
        <v>1</v>
      </c>
      <c r="AL40" s="101">
        <f>IF($W$63,AG40-$W$68/2,($W$70-$W$68)-AG40)</f>
        <v>9.6</v>
      </c>
      <c r="AM40" s="101">
        <f>($W$69-$W$67)-AF40</f>
        <v>-6.4</v>
      </c>
      <c r="AN40" s="101">
        <f>IF($W$62,IF(AJ40&gt;$W$65/2,AJ40-$W$65/2,$W$65/2-$W$67-AJ40),IF(OR(AH40,AI40),IF(AK40,AF40-$W$69,AG40-$W$70),MIN(AL40,AM40)))</f>
        <v>5.0</v>
      </c>
      <c r="AO40" s="101">
        <f>IF($W$62,IF(AJ40&gt;$W$65/2,MIN($C$17/2-AF40,$C$18/2-AG40),1.25*AN40),IF(OR(AH40,AI40),IF(AK40,$C$17/2-AF40,$C$18/2-AG40),IF(AND(AL40&lt;=AM40,$W$63),$C$18/2-AG40,1.25*AN40)))</f>
        <v>5.0</v>
      </c>
      <c r="AP40" s="101">
        <f>IF(V40,IF($W$62,2*PI()*MAX(AJ40,0.1)/$W$77,IF(OR(AH40,AI40),IF(AK40,$C$18/SUMPRODUCT(--($V$37:$V$48),--($W$37:$W$48=W40)),$C$17/SUMPRODUCT(--($V$37:$V$48),--($X$37:$X$48=X40))),IF(AL40&lt;=AM40,($W$65-2*$W$67)/SUMPRODUCT(--($V$37:$V$48),--($X$37:$X$48=X40)),IF($W$63,$W$66,$W$66-2*$W$68)/SUMPRODUCT(--($V$37:$V$48),--($W$37:$W$48=W40))))),1)</f>
        <v>15.0</v>
      </c>
      <c r="AQ40" s="101">
        <f>MAX(0.1,AN40)</f>
        <v>5.0</v>
      </c>
      <c r="AR40" s="101">
        <f>MAX(0.1,MIN(AO40,1.25*AQ40))</f>
        <v>5.0</v>
      </c>
      <c r="AS40" s="101">
        <f>AP40*$C$19^4/(AR40*AQ40^2*$W$78)</f>
        <v>5.57178330687524</v>
      </c>
      <c r="AT40" s="101">
        <f>IF(AND(V40,NOT($W$61),AB40&gt;0),MAX(0,AB40*(0.5-AS40/30)/((3*AR40/(4*AQ40)+1)*(AR40/(3*AQ40)+1)+AS40/6)),0)</f>
        <v>0.391038289787621</v>
      </c>
      <c r="AU40" s="101">
        <f>AB40+AT40</f>
        <v>4.44976801647886</v>
      </c>
      <c r="AV40" s="101">
        <f>IF(AB40&gt;0,MAX(AB40*AQ40-AT40*AR40,AT40*AR40)/AP40,0)</f>
        <v>1.22256381230121</v>
      </c>
      <c r="AW40" s="101">
        <f>$C$23/2-AF40</f>
        <v>15.0</v>
      </c>
      <c r="AX40" s="101">
        <f>$C$24/2-AG40</f>
        <v>20.0</v>
      </c>
      <c r="AY40" s="101">
        <f>IF(V40,MIN(AW40,AX40),"")</f>
        <v>15.0</v>
      </c>
      <c r="BE40" s="101">
        <f>IF(AND(V40,V41),SQRT((W40-W41)^2+(X40-X41)^2),"")</f>
        <v/>
      </c>
      <c r="BF40" s="101">
        <f>IF(AND(V40,V42),SQRT((W40-W42)^2+(X40-X42)^2),"")</f>
        <v/>
      </c>
      <c r="BG40" s="101">
        <f>IF(AND(V40,V43),SQRT((W40-W43)^2+(X40-X43)^2),"")</f>
        <v/>
      </c>
      <c r="BH40" s="101">
        <f>IF(AND(V40,V44),SQRT((W40-W44)^2+(X40-X44)^2),"")</f>
        <v/>
      </c>
      <c r="BI40" s="101">
        <f>IF(AND(V40,V45),SQRT((W40-W45)^2+(X40-X45)^2),"")</f>
        <v/>
      </c>
      <c r="BJ40" s="101">
        <f>IF(AND(V40,V46),SQRT((W40-W46)^2+(X40-X46)^2),"")</f>
        <v/>
      </c>
      <c r="BK40" s="101">
        <f>IF(AND(V40,V47),SQRT((W40-W47)^2+(X40-X47)^2),"")</f>
        <v/>
      </c>
      <c r="BL40" s="101">
        <f>IF(AND(V40,V48),SQRT((W40-W48)^2+(X40-X48)^2),"")</f>
        <v/>
      </c>
      <c r="BM40" s="101" t="b">
        <f>IF(V40,AND(AF40&lt;=$C$17/2-1.5*'2-Anchor Bolt'!$C$12/10,AG40&lt;=$C$18/2-1.5*'2-Anchor Bolt'!$C$12/10),TRUE)</f>
        <v>1</v>
      </c>
      <c r="BP40" s="101">
        <f>-1*$C$23/2/$W$126</f>
        <v>-0.833333333333333</v>
      </c>
      <c r="BQ40" s="101">
        <f>1*$C$24/2/$W$126</f>
        <v>0.625</v>
      </c>
      <c r="BR40" s="101">
        <f>-1*$C$17/2/$W$126</f>
        <v>-0.625</v>
      </c>
      <c r="BS40" s="101">
        <f>1*$C$18/2/$W$126</f>
        <v>0.3125</v>
      </c>
      <c r="BT40" s="101">
        <f>IF($W$62,$W$69*COS((2*PI()*3/36)),IF($W$63,(1*$W$69+(-1)*$W$67),-1*$W$69))/$W$126</f>
        <v>0.3875</v>
      </c>
      <c r="BU40" s="101">
        <f>IF($W$62,$W$69*SIN((2*PI()*3/36)),IF($W$63,((-1)*$W$68/2),1*$W$70))/$W$126</f>
        <v>-0.00833333333333333</v>
      </c>
      <c r="BV40" s="101">
        <f>IF($W$62,($W$69-$W$67)*COS((2*PI()*3/36)),IF($W$63,-$W$69,-1*($W$69-$W$67)))/$W$126</f>
        <v>-0.416666666666667</v>
      </c>
      <c r="BW40" s="101">
        <f>IF($W$62,($W$69-$W$67)*SIN((2*PI()*3/36)),IF($W$63,-$W$70,1*($W$70-$W$68)))/$W$126</f>
        <v>-0.208333333333333</v>
      </c>
      <c r="BX40" t="n">
        <v>0</v>
      </c>
      <c r="BY40" s="101">
        <f>($C$24/2+5)/$W$126</f>
        <v>0.729166666666667</v>
      </c>
      <c r="CJ40" s="101">
        <f>IF(OR($W$88="A",AND($W$88="C",ISNUMBER($W$127))),IF($W$64,IF($W$88="A",-$W$75*$W$71/2,$W$127),(-$W$72/2+$W$72*3/20)),NA())/$W$126</f>
        <v>0.0772313669477929</v>
      </c>
      <c r="CK40" s="101">
        <f>IF(OR($W$88="A",AND($W$88="C",ISNUMBER($W$127))),IF($W$64,(-$W$72/2+$W$72*3/20),IF($W$88="A",-$W$75*$W$71/2,$W$127)),NA())/$W$126</f>
        <v>-0.21875</v>
      </c>
      <c r="CL40" s="101">
        <f>IF(V40,W40/$W$126,NA())</f>
        <v>-0.520833333333333</v>
      </c>
      <c r="CM40" s="101">
        <f>IF(V40,X40/$W$126,NA())</f>
        <v>0.208333333333333</v>
      </c>
      <c r="CN40" s="101" t="str">
        <f>IF(V40,"("&amp;TEXT(W40,"0.0")&amp;" , "&amp;TEXT(X40,"0.0")&amp;")","")</f>
        <v>(-25.0 , 10.0)</v>
      </c>
      <c r="CO40" s="101">
        <f>-($C$23/2+1)/$W$126</f>
        <v>-0.854166666666667</v>
      </c>
      <c r="CP40" t="n">
        <v>0</v>
      </c>
      <c r="CQ40" s="101" t="str">
        <f>"By = "&amp;$C$24</f>
        <v>By = 60</v>
      </c>
    </row>
    <row r="41" ht="14.25" customHeight="1" s="16">
      <c r="A41" s="61" t="n">
        <v>5</v>
      </c>
      <c r="B41" s="100" t="n"/>
      <c r="C41" s="100" t="n"/>
      <c r="D41" s="100" t="n"/>
      <c r="E41" s="100" t="n"/>
      <c r="F41" s="100" t="n"/>
      <c r="V41" s="101" t="b">
        <f>AND(ISNUMBER(B41),ISNUMBER(C41))</f>
        <v>0</v>
      </c>
      <c r="W41" s="101">
        <f>IF(V41,B41,0)</f>
        <v>0.0</v>
      </c>
      <c r="X41" s="101">
        <f>IF(V41,C41,0)</f>
        <v>0.0</v>
      </c>
      <c r="Y41" s="101">
        <f>IF($W$64,W41,X41)</f>
        <v>0.0</v>
      </c>
      <c r="Z41" s="101">
        <f>IF(V41,$W$71/2-$W$75*Y41,-1)</f>
        <v>-1.0</v>
      </c>
      <c r="AA41" s="101">
        <f>IF(V41,IF($W$88="B",$W$86+$W$85*(Z41-$W$82),IF($W$88="C",$W$93*$W$81*MAX(Z41-$W$90,0),0)),0)</f>
        <v>0.0</v>
      </c>
      <c r="AB41" s="101">
        <f>IF(V41,IF($W$61,MAX(0,N(D41)),MAX(0,AA41)),0)</f>
        <v>0.0</v>
      </c>
      <c r="AC41" s="101">
        <f>IF(V41,IF($W$61,ABS(N(E41)),ABS(N($C$32))/$W$77),0)</f>
        <v>0.0</v>
      </c>
      <c r="AD41" s="101">
        <f>IF(V41,IF($W$61,ABS(N(F41)),ABS(N($C$33))/$W$77),0)</f>
        <v>0.0</v>
      </c>
      <c r="AE41" s="101">
        <f>SQRT(AC41^2+AD41^2)</f>
        <v>0.0</v>
      </c>
      <c r="AF41" s="101">
        <f>ABS(W41)</f>
        <v>0.0</v>
      </c>
      <c r="AG41" s="101">
        <f>ABS(X41)</f>
        <v>0.0</v>
      </c>
      <c r="AH41" s="101" t="b">
        <f>AF41&gt;$W$69</f>
        <v>0</v>
      </c>
      <c r="AI41" s="101" t="b">
        <f>AG41&gt;$W$70</f>
        <v>0</v>
      </c>
      <c r="AJ41" s="101">
        <f>SQRT(W41^2+X41^2)</f>
        <v>0.0</v>
      </c>
      <c r="AK41" s="101" t="b">
        <f>IF(AND(AH41,AI41),$W$64,AH41)</f>
        <v>0</v>
      </c>
      <c r="AL41" s="101">
        <f>IF($W$63,AG41-$W$68/2,($W$70-$W$68)-AG41)</f>
        <v>-0.4</v>
      </c>
      <c r="AM41" s="101">
        <f>($W$69-$W$67)-AF41</f>
        <v>18.6</v>
      </c>
      <c r="AN41" s="101">
        <f>IF($W$62,IF(AJ41&gt;$W$65/2,AJ41-$W$65/2,$W$65/2-$W$67-AJ41),IF(OR(AH41,AI41),IF(AK41,AF41-$W$69,AG41-$W$70),MIN(AL41,AM41)))</f>
        <v>-0.4</v>
      </c>
      <c r="AO41" s="101">
        <f>IF($W$62,IF(AJ41&gt;$W$65/2,MIN($C$17/2-AF41,$C$18/2-AG41),1.25*AN41),IF(OR(AH41,AI41),IF(AK41,$C$17/2-AF41,$C$18/2-AG41),IF(AND(AL41&lt;=AM41,$W$63),$C$18/2-AG41,1.25*AN41)))</f>
        <v>15.0</v>
      </c>
      <c r="AP41" s="101">
        <f>IF(V41,IF($W$62,2*PI()*MAX(AJ41,0.1)/$W$77,IF(OR(AH41,AI41),IF(AK41,$C$18/SUMPRODUCT(--($V$37:$V$48),--($W$37:$W$48=W41)),$C$17/SUMPRODUCT(--($V$37:$V$48),--($X$37:$X$48=X41))),IF(AL41&lt;=AM41,($W$65-2*$W$67)/SUMPRODUCT(--($V$37:$V$48),--($X$37:$X$48=X41)),IF($W$63,$W$66,$W$66-2*$W$68)/SUMPRODUCT(--($V$37:$V$48),--($W$37:$W$48=W41))))),1)</f>
        <v>1.0</v>
      </c>
      <c r="AQ41" s="101">
        <f>MAX(0.1,AN41)</f>
        <v>0.1</v>
      </c>
      <c r="AR41" s="101">
        <f>MAX(0.1,MIN(AO41,1.25*AQ41))</f>
        <v>0.125</v>
      </c>
      <c r="AS41" s="101">
        <f>AP41*$C$19^4/(AR41*AQ41^2*$W$78)</f>
        <v>37145.2220458349</v>
      </c>
      <c r="AT41" s="101">
        <f>IF(AND(V41,NOT($W$61),AB41&gt;0),MAX(0,AB41*(0.5-AS41/30)/((3*AR41/(4*AQ41)+1)*(AR41/(3*AQ41)+1)+AS41/6)),0)</f>
        <v>0.0</v>
      </c>
      <c r="AU41" s="101">
        <f>AB41+AT41</f>
        <v>0.0</v>
      </c>
      <c r="AV41" s="101">
        <f>IF(AB41&gt;0,MAX(AB41*AQ41-AT41*AR41,AT41*AR41)/AP41,0)</f>
        <v>0.0</v>
      </c>
      <c r="AW41" s="101">
        <f>$C$23/2-AF41</f>
        <v>40.0</v>
      </c>
      <c r="AX41" s="101">
        <f>$C$24/2-AG41</f>
        <v>30.0</v>
      </c>
      <c r="AY41" s="101">
        <f>IF(V41,MIN(AW41,AX41),"")</f>
        <v/>
      </c>
      <c r="BF41" s="101">
        <f>IF(AND(V41,V42),SQRT((W41-W42)^2+(X41-X42)^2),"")</f>
        <v/>
      </c>
      <c r="BG41" s="101">
        <f>IF(AND(V41,V43),SQRT((W41-W43)^2+(X41-X43)^2),"")</f>
        <v/>
      </c>
      <c r="BH41" s="101">
        <f>IF(AND(V41,V44),SQRT((W41-W44)^2+(X41-X44)^2),"")</f>
        <v/>
      </c>
      <c r="BI41" s="101">
        <f>IF(AND(V41,V45),SQRT((W41-W45)^2+(X41-X45)^2),"")</f>
        <v/>
      </c>
      <c r="BJ41" s="101">
        <f>IF(AND(V41,V46),SQRT((W41-W46)^2+(X41-X46)^2),"")</f>
        <v/>
      </c>
      <c r="BK41" s="101">
        <f>IF(AND(V41,V47),SQRT((W41-W47)^2+(X41-X47)^2),"")</f>
        <v/>
      </c>
      <c r="BL41" s="101">
        <f>IF(AND(V41,V48),SQRT((W41-W48)^2+(X41-X48)^2),"")</f>
        <v/>
      </c>
      <c r="BM41" s="101" t="b">
        <f>IF(V41,AND(AF41&lt;=$C$17/2-1.5*'2-Anchor Bolt'!$C$12/10,AG41&lt;=$C$18/2-1.5*'2-Anchor Bolt'!$C$12/10),TRUE)</f>
        <v>1</v>
      </c>
      <c r="BP41" s="101">
        <f>-1*$C$23/2/$W$126</f>
        <v>-0.833333333333333</v>
      </c>
      <c r="BQ41" s="101">
        <f>-1*$C$24/2/$W$126</f>
        <v>-0.625</v>
      </c>
      <c r="BR41" s="101">
        <f>-1*$C$17/2/$W$126</f>
        <v>-0.625</v>
      </c>
      <c r="BS41" s="101">
        <f>-1*$C$18/2/$W$126</f>
        <v>-0.3125</v>
      </c>
      <c r="BT41" s="101">
        <f>IF($W$62,$W$69*COS((2*PI()*4/36)),IF($W$63,(1*$W$69+(-1)*$W$67),-1*$W$69))/$W$126</f>
        <v>0.3875</v>
      </c>
      <c r="BU41" s="101">
        <f>IF($W$62,$W$69*SIN((2*PI()*4/36)),IF($W$63,(-1*$W$70),-1*$W$70))/$W$126</f>
        <v>-0.208333333333333</v>
      </c>
      <c r="BV41" s="101">
        <f>IF($W$62,($W$69-$W$67)*COS((2*PI()*4/36)),IF($W$63,-$W$69,-1*($W$69-$W$67)))/$W$126</f>
        <v>-0.416666666666667</v>
      </c>
      <c r="BW41" s="101">
        <f>IF($W$62,($W$69-$W$67)*SIN((2*PI()*4/36)),IF($W$63,-$W$70,-1*($W$70-$W$68)))/$W$126</f>
        <v>-0.208333333333333</v>
      </c>
      <c r="CJ41" s="101">
        <f>IF(OR($W$88="A",AND($W$88="C",ISNUMBER($W$127))),IF($W$64,$W$75*$W$71/2,(-$W$72/2+$W$72*4/20)),NA())/$W$126</f>
        <v>0.625</v>
      </c>
      <c r="CK41" s="101">
        <f>IF(OR($W$88="A",AND($W$88="C",ISNUMBER($W$127))),IF($W$64,(-$W$72/2+$W$72*4/20),$W$75*$W$71/2),NA())/$W$126</f>
        <v>-0.1875</v>
      </c>
      <c r="CL41" s="101" t="e">
        <f>IF(V41,W41/$W$126,NA())</f>
        <v>#N/A</v>
      </c>
      <c r="CM41" s="101" t="e">
        <f>IF(V41,X41/$W$126,NA())</f>
        <v>#N/A</v>
      </c>
      <c r="CN41" s="101">
        <f>IF(V41,"("&amp;TEXT(W41,"0.0")&amp;" , "&amp;TEXT(X41,"0.0")&amp;")","")</f>
        <v/>
      </c>
      <c r="CO41" s="101">
        <f>IF(AND($W$88="C",ISNUMBER($W$127)),IF($W$64,$W$127,$C$17/2*1.1),0)/$W$126</f>
        <v>0.0772313669477929</v>
      </c>
      <c r="CP41" s="101">
        <f>IF(AND($W$88="C",ISNUMBER($W$127)),IF($W$64,$C$18/2*1.1,$W$127),0)/$W$126</f>
        <v>0.34375</v>
      </c>
      <c r="CQ41" s="101" t="str">
        <f>IF(AND($W$88="C",ISNUMBER($W$127)),"N.A.","")</f>
        <v>N.A.</v>
      </c>
    </row>
    <row r="42" ht="14.25" customHeight="1" s="16">
      <c r="A42" s="61" t="n">
        <v>6</v>
      </c>
      <c r="B42" s="100" t="n"/>
      <c r="C42" s="100" t="n"/>
      <c r="D42" s="100" t="n"/>
      <c r="E42" s="100" t="n"/>
      <c r="F42" s="100" t="n"/>
      <c r="V42" s="101" t="b">
        <f>AND(ISNUMBER(B42),ISNUMBER(C42))</f>
        <v>0</v>
      </c>
      <c r="W42" s="101">
        <f>IF(V42,B42,0)</f>
        <v>0.0</v>
      </c>
      <c r="X42" s="101">
        <f>IF(V42,C42,0)</f>
        <v>0.0</v>
      </c>
      <c r="Y42" s="101">
        <f>IF($W$64,W42,X42)</f>
        <v>0.0</v>
      </c>
      <c r="Z42" s="101">
        <f>IF(V42,$W$71/2-$W$75*Y42,-1)</f>
        <v>-1.0</v>
      </c>
      <c r="AA42" s="101">
        <f>IF(V42,IF($W$88="B",$W$86+$W$85*(Z42-$W$82),IF($W$88="C",$W$93*$W$81*MAX(Z42-$W$90,0),0)),0)</f>
        <v>0.0</v>
      </c>
      <c r="AB42" s="101">
        <f>IF(V42,IF($W$61,MAX(0,N(D42)),MAX(0,AA42)),0)</f>
        <v>0.0</v>
      </c>
      <c r="AC42" s="101">
        <f>IF(V42,IF($W$61,ABS(N(E42)),ABS(N($C$32))/$W$77),0)</f>
        <v>0.0</v>
      </c>
      <c r="AD42" s="101">
        <f>IF(V42,IF($W$61,ABS(N(F42)),ABS(N($C$33))/$W$77),0)</f>
        <v>0.0</v>
      </c>
      <c r="AE42" s="101">
        <f>SQRT(AC42^2+AD42^2)</f>
        <v>0.0</v>
      </c>
      <c r="AF42" s="101">
        <f>ABS(W42)</f>
        <v>0.0</v>
      </c>
      <c r="AG42" s="101">
        <f>ABS(X42)</f>
        <v>0.0</v>
      </c>
      <c r="AH42" s="101" t="b">
        <f>AF42&gt;$W$69</f>
        <v>0</v>
      </c>
      <c r="AI42" s="101" t="b">
        <f>AG42&gt;$W$70</f>
        <v>0</v>
      </c>
      <c r="AJ42" s="101">
        <f>SQRT(W42^2+X42^2)</f>
        <v>0.0</v>
      </c>
      <c r="AK42" s="101" t="b">
        <f>IF(AND(AH42,AI42),$W$64,AH42)</f>
        <v>0</v>
      </c>
      <c r="AL42" s="101">
        <f>IF($W$63,AG42-$W$68/2,($W$70-$W$68)-AG42)</f>
        <v>-0.4</v>
      </c>
      <c r="AM42" s="101">
        <f>($W$69-$W$67)-AF42</f>
        <v>18.6</v>
      </c>
      <c r="AN42" s="101">
        <f>IF($W$62,IF(AJ42&gt;$W$65/2,AJ42-$W$65/2,$W$65/2-$W$67-AJ42),IF(OR(AH42,AI42),IF(AK42,AF42-$W$69,AG42-$W$70),MIN(AL42,AM42)))</f>
        <v>-0.4</v>
      </c>
      <c r="AO42" s="101">
        <f>IF($W$62,IF(AJ42&gt;$W$65/2,MIN($C$17/2-AF42,$C$18/2-AG42),1.25*AN42),IF(OR(AH42,AI42),IF(AK42,$C$17/2-AF42,$C$18/2-AG42),IF(AND(AL42&lt;=AM42,$W$63),$C$18/2-AG42,1.25*AN42)))</f>
        <v>15.0</v>
      </c>
      <c r="AP42" s="101">
        <f>IF(V42,IF($W$62,2*PI()*MAX(AJ42,0.1)/$W$77,IF(OR(AH42,AI42),IF(AK42,$C$18/SUMPRODUCT(--($V$37:$V$48),--($W$37:$W$48=W42)),$C$17/SUMPRODUCT(--($V$37:$V$48),--($X$37:$X$48=X42))),IF(AL42&lt;=AM42,($W$65-2*$W$67)/SUMPRODUCT(--($V$37:$V$48),--($X$37:$X$48=X42)),IF($W$63,$W$66,$W$66-2*$W$68)/SUMPRODUCT(--($V$37:$V$48),--($W$37:$W$48=W42))))),1)</f>
        <v>1.0</v>
      </c>
      <c r="AQ42" s="101">
        <f>MAX(0.1,AN42)</f>
        <v>0.1</v>
      </c>
      <c r="AR42" s="101">
        <f>MAX(0.1,MIN(AO42,1.25*AQ42))</f>
        <v>0.125</v>
      </c>
      <c r="AS42" s="101">
        <f>AP42*$C$19^4/(AR42*AQ42^2*$W$78)</f>
        <v>37145.2220458349</v>
      </c>
      <c r="AT42" s="101">
        <f>IF(AND(V42,NOT($W$61),AB42&gt;0),MAX(0,AB42*(0.5-AS42/30)/((3*AR42/(4*AQ42)+1)*(AR42/(3*AQ42)+1)+AS42/6)),0)</f>
        <v>0.0</v>
      </c>
      <c r="AU42" s="101">
        <f>AB42+AT42</f>
        <v>0.0</v>
      </c>
      <c r="AV42" s="101">
        <f>IF(AB42&gt;0,MAX(AB42*AQ42-AT42*AR42,AT42*AR42)/AP42,0)</f>
        <v>0.0</v>
      </c>
      <c r="AW42" s="101">
        <f>$C$23/2-AF42</f>
        <v>40.0</v>
      </c>
      <c r="AX42" s="101">
        <f>$C$24/2-AG42</f>
        <v>30.0</v>
      </c>
      <c r="AY42" s="101">
        <f>IF(V42,MIN(AW42,AX42),"")</f>
        <v/>
      </c>
      <c r="BG42" s="101">
        <f>IF(AND(V42,V43),SQRT((W42-W43)^2+(X42-X43)^2),"")</f>
        <v/>
      </c>
      <c r="BH42" s="101">
        <f>IF(AND(V42,V44),SQRT((W42-W44)^2+(X42-X44)^2),"")</f>
        <v/>
      </c>
      <c r="BI42" s="101">
        <f>IF(AND(V42,V45),SQRT((W42-W45)^2+(X42-X45)^2),"")</f>
        <v/>
      </c>
      <c r="BJ42" s="101">
        <f>IF(AND(V42,V46),SQRT((W42-W46)^2+(X42-X46)^2),"")</f>
        <v/>
      </c>
      <c r="BK42" s="101">
        <f>IF(AND(V42,V47),SQRT((W42-W47)^2+(X42-X47)^2),"")</f>
        <v/>
      </c>
      <c r="BL42" s="101">
        <f>IF(AND(V42,V48),SQRT((W42-W48)^2+(X42-X48)^2),"")</f>
        <v/>
      </c>
      <c r="BM42" s="101" t="b">
        <f>IF(V42,AND(AF42&lt;=$C$17/2-1.5*'2-Anchor Bolt'!$C$12/10,AG42&lt;=$C$18/2-1.5*'2-Anchor Bolt'!$C$12/10),TRUE)</f>
        <v>1</v>
      </c>
      <c r="BT42" s="101">
        <f>IF($W$62,$W$69*COS((2*PI()*5/36)),IF($W$63,(1*$W$69+(0)*$W$67),-1*$W$69))/$W$126</f>
        <v>0.416666666666667</v>
      </c>
      <c r="BU42" s="101">
        <f>IF($W$62,$W$69*SIN((2*PI()*5/36)),IF($W$63,(-1*$W$70),-1*$W$70))/$W$126</f>
        <v>-0.208333333333333</v>
      </c>
      <c r="BV42" s="101">
        <f>IF($W$62,($W$69-$W$67)*COS((2*PI()*5/36)),IF($W$63,-$W$69,-1*($W$69-$W$67)))/$W$126</f>
        <v>-0.416666666666667</v>
      </c>
      <c r="BW42" s="101">
        <f>IF($W$62,($W$69-$W$67)*SIN((2*PI()*5/36)),IF($W$63,-$W$70,-1*($W$70-$W$68)))/$W$126</f>
        <v>-0.208333333333333</v>
      </c>
      <c r="CJ42" s="101">
        <f>IF(OR($W$88="A",AND($W$88="C",ISNUMBER($W$127))),IF($W$64,IF($W$88="A",-$W$75*$W$71/2,$W$127),(-$W$72/2+$W$72*5/20)),NA())/$W$126</f>
        <v>0.0772313669477929</v>
      </c>
      <c r="CK42" s="101">
        <f>IF(OR($W$88="A",AND($W$88="C",ISNUMBER($W$127))),IF($W$64,(-$W$72/2+$W$72*5/20),IF($W$88="A",-$W$75*$W$71/2,$W$127)),NA())/$W$126</f>
        <v>-0.15625</v>
      </c>
      <c r="CL42" s="101" t="e">
        <f>IF(V42,W42/$W$126,NA())</f>
        <v>#N/A</v>
      </c>
      <c r="CM42" s="101" t="e">
        <f>IF(V42,X42/$W$126,NA())</f>
        <v>#N/A</v>
      </c>
      <c r="CN42" s="101">
        <f>IF(V42,"("&amp;TEXT(W42,"0.0")&amp;" , "&amp;TEXT(X42,"0.0")&amp;")","")</f>
        <v/>
      </c>
    </row>
    <row r="43" ht="14.25" customHeight="1" s="16">
      <c r="A43" s="61" t="n">
        <v>7</v>
      </c>
      <c r="B43" s="100" t="n"/>
      <c r="C43" s="100" t="n"/>
      <c r="D43" s="100" t="n"/>
      <c r="E43" s="100" t="n"/>
      <c r="F43" s="100" t="n"/>
      <c r="V43" s="101" t="b">
        <f>AND(ISNUMBER(B43),ISNUMBER(C43))</f>
        <v>0</v>
      </c>
      <c r="W43" s="101">
        <f>IF(V43,B43,0)</f>
        <v>0.0</v>
      </c>
      <c r="X43" s="101">
        <f>IF(V43,C43,0)</f>
        <v>0.0</v>
      </c>
      <c r="Y43" s="101">
        <f>IF($W$64,W43,X43)</f>
        <v>0.0</v>
      </c>
      <c r="Z43" s="101">
        <f>IF(V43,$W$71/2-$W$75*Y43,-1)</f>
        <v>-1.0</v>
      </c>
      <c r="AA43" s="101">
        <f>IF(V43,IF($W$88="B",$W$86+$W$85*(Z43-$W$82),IF($W$88="C",$W$93*$W$81*MAX(Z43-$W$90,0),0)),0)</f>
        <v>0.0</v>
      </c>
      <c r="AB43" s="101">
        <f>IF(V43,IF($W$61,MAX(0,N(D43)),MAX(0,AA43)),0)</f>
        <v>0.0</v>
      </c>
      <c r="AC43" s="101">
        <f>IF(V43,IF($W$61,ABS(N(E43)),ABS(N($C$32))/$W$77),0)</f>
        <v>0.0</v>
      </c>
      <c r="AD43" s="101">
        <f>IF(V43,IF($W$61,ABS(N(F43)),ABS(N($C$33))/$W$77),0)</f>
        <v>0.0</v>
      </c>
      <c r="AE43" s="101">
        <f>SQRT(AC43^2+AD43^2)</f>
        <v>0.0</v>
      </c>
      <c r="AF43" s="101">
        <f>ABS(W43)</f>
        <v>0.0</v>
      </c>
      <c r="AG43" s="101">
        <f>ABS(X43)</f>
        <v>0.0</v>
      </c>
      <c r="AH43" s="101" t="b">
        <f>AF43&gt;$W$69</f>
        <v>0</v>
      </c>
      <c r="AI43" s="101" t="b">
        <f>AG43&gt;$W$70</f>
        <v>0</v>
      </c>
      <c r="AJ43" s="101">
        <f>SQRT(W43^2+X43^2)</f>
        <v>0.0</v>
      </c>
      <c r="AK43" s="101" t="b">
        <f>IF(AND(AH43,AI43),$W$64,AH43)</f>
        <v>0</v>
      </c>
      <c r="AL43" s="101">
        <f>IF($W$63,AG43-$W$68/2,($W$70-$W$68)-AG43)</f>
        <v>-0.4</v>
      </c>
      <c r="AM43" s="101">
        <f>($W$69-$W$67)-AF43</f>
        <v>18.6</v>
      </c>
      <c r="AN43" s="101">
        <f>IF($W$62,IF(AJ43&gt;$W$65/2,AJ43-$W$65/2,$W$65/2-$W$67-AJ43),IF(OR(AH43,AI43),IF(AK43,AF43-$W$69,AG43-$W$70),MIN(AL43,AM43)))</f>
        <v>-0.4</v>
      </c>
      <c r="AO43" s="101">
        <f>IF($W$62,IF(AJ43&gt;$W$65/2,MIN($C$17/2-AF43,$C$18/2-AG43),1.25*AN43),IF(OR(AH43,AI43),IF(AK43,$C$17/2-AF43,$C$18/2-AG43),IF(AND(AL43&lt;=AM43,$W$63),$C$18/2-AG43,1.25*AN43)))</f>
        <v>15.0</v>
      </c>
      <c r="AP43" s="101">
        <f>IF(V43,IF($W$62,2*PI()*MAX(AJ43,0.1)/$W$77,IF(OR(AH43,AI43),IF(AK43,$C$18/SUMPRODUCT(--($V$37:$V$48),--($W$37:$W$48=W43)),$C$17/SUMPRODUCT(--($V$37:$V$48),--($X$37:$X$48=X43))),IF(AL43&lt;=AM43,($W$65-2*$W$67)/SUMPRODUCT(--($V$37:$V$48),--($X$37:$X$48=X43)),IF($W$63,$W$66,$W$66-2*$W$68)/SUMPRODUCT(--($V$37:$V$48),--($W$37:$W$48=W43))))),1)</f>
        <v>1.0</v>
      </c>
      <c r="AQ43" s="101">
        <f>MAX(0.1,AN43)</f>
        <v>0.1</v>
      </c>
      <c r="AR43" s="101">
        <f>MAX(0.1,MIN(AO43,1.25*AQ43))</f>
        <v>0.125</v>
      </c>
      <c r="AS43" s="101">
        <f>AP43*$C$19^4/(AR43*AQ43^2*$W$78)</f>
        <v>37145.2220458349</v>
      </c>
      <c r="AT43" s="101">
        <f>IF(AND(V43,NOT($W$61),AB43&gt;0),MAX(0,AB43*(0.5-AS43/30)/((3*AR43/(4*AQ43)+1)*(AR43/(3*AQ43)+1)+AS43/6)),0)</f>
        <v>0.0</v>
      </c>
      <c r="AU43" s="101">
        <f>AB43+AT43</f>
        <v>0.0</v>
      </c>
      <c r="AV43" s="101">
        <f>IF(AB43&gt;0,MAX(AB43*AQ43-AT43*AR43,AT43*AR43)/AP43,0)</f>
        <v>0.0</v>
      </c>
      <c r="AW43" s="101">
        <f>$C$23/2-AF43</f>
        <v>40.0</v>
      </c>
      <c r="AX43" s="101">
        <f>$C$24/2-AG43</f>
        <v>30.0</v>
      </c>
      <c r="AY43" s="101">
        <f>IF(V43,MIN(AW43,AX43),"")</f>
        <v/>
      </c>
      <c r="BH43" s="101">
        <f>IF(AND(V43,V44),SQRT((W43-W44)^2+(X43-X44)^2),"")</f>
        <v/>
      </c>
      <c r="BI43" s="101">
        <f>IF(AND(V43,V45),SQRT((W43-W45)^2+(X43-X45)^2),"")</f>
        <v/>
      </c>
      <c r="BJ43" s="101">
        <f>IF(AND(V43,V46),SQRT((W43-W46)^2+(X43-X46)^2),"")</f>
        <v/>
      </c>
      <c r="BK43" s="101">
        <f>IF(AND(V43,V47),SQRT((W43-W47)^2+(X43-X47)^2),"")</f>
        <v/>
      </c>
      <c r="BL43" s="101">
        <f>IF(AND(V43,V48),SQRT((W43-W48)^2+(X43-X48)^2),"")</f>
        <v/>
      </c>
      <c r="BM43" s="101" t="b">
        <f>IF(V43,AND(AF43&lt;=$C$17/2-1.5*'2-Anchor Bolt'!$C$12/10,AG43&lt;=$C$18/2-1.5*'2-Anchor Bolt'!$C$12/10),TRUE)</f>
        <v>1</v>
      </c>
      <c r="BT43" s="101">
        <f>IF($W$62,$W$69*COS((2*PI()*6/36)),IF($W$63,(1*$W$69+(0)*$W$67),-1*$W$69))/$W$126</f>
        <v>0.416666666666667</v>
      </c>
      <c r="BU43" s="101">
        <f>IF($W$62,$W$69*SIN((2*PI()*6/36)),IF($W$63,(1*$W$70),-1*$W$70))/$W$126</f>
        <v>0.208333333333333</v>
      </c>
      <c r="BV43" s="101">
        <f>IF($W$62,($W$69-$W$67)*COS((2*PI()*6/36)),IF($W$63,-$W$69,-1*($W$69-$W$67)))/$W$126</f>
        <v>-0.416666666666667</v>
      </c>
      <c r="BW43" s="101">
        <f>IF($W$62,($W$69-$W$67)*SIN((2*PI()*6/36)),IF($W$63,-$W$70,-1*($W$70-$W$68)))/$W$126</f>
        <v>-0.208333333333333</v>
      </c>
      <c r="CJ43" s="101">
        <f>IF(OR($W$88="A",AND($W$88="C",ISNUMBER($W$127))),IF($W$64,$W$75*$W$71/2,(-$W$72/2+$W$72*6/20)),NA())/$W$126</f>
        <v>0.625</v>
      </c>
      <c r="CK43" s="101">
        <f>IF(OR($W$88="A",AND($W$88="C",ISNUMBER($W$127))),IF($W$64,(-$W$72/2+$W$72*6/20),$W$75*$W$71/2),NA())/$W$126</f>
        <v>-0.125</v>
      </c>
      <c r="CL43" s="101" t="e">
        <f>IF(V43,W43/$W$126,NA())</f>
        <v>#N/A</v>
      </c>
      <c r="CM43" s="101" t="e">
        <f>IF(V43,X43/$W$126,NA())</f>
        <v>#N/A</v>
      </c>
      <c r="CN43" s="101">
        <f>IF(V43,"("&amp;TEXT(W43,"0.0")&amp;" , "&amp;TEXT(X43,"0.0")&amp;")","")</f>
        <v/>
      </c>
    </row>
    <row r="44" ht="14.25" customHeight="1" s="16">
      <c r="A44" s="61" t="n">
        <v>8</v>
      </c>
      <c r="B44" s="100" t="n"/>
      <c r="C44" s="100" t="n"/>
      <c r="D44" s="100" t="n"/>
      <c r="E44" s="100" t="n"/>
      <c r="F44" s="100" t="n"/>
      <c r="V44" s="101" t="b">
        <f>AND(ISNUMBER(B44),ISNUMBER(C44))</f>
        <v>0</v>
      </c>
      <c r="W44" s="101">
        <f>IF(V44,B44,0)</f>
        <v>0.0</v>
      </c>
      <c r="X44" s="101">
        <f>IF(V44,C44,0)</f>
        <v>0.0</v>
      </c>
      <c r="Y44" s="101">
        <f>IF($W$64,W44,X44)</f>
        <v>0.0</v>
      </c>
      <c r="Z44" s="101">
        <f>IF(V44,$W$71/2-$W$75*Y44,-1)</f>
        <v>-1.0</v>
      </c>
      <c r="AA44" s="101">
        <f>IF(V44,IF($W$88="B",$W$86+$W$85*(Z44-$W$82),IF($W$88="C",$W$93*$W$81*MAX(Z44-$W$90,0),0)),0)</f>
        <v>0.0</v>
      </c>
      <c r="AB44" s="101">
        <f>IF(V44,IF($W$61,MAX(0,N(D44)),MAX(0,AA44)),0)</f>
        <v>0.0</v>
      </c>
      <c r="AC44" s="101">
        <f>IF(V44,IF($W$61,ABS(N(E44)),ABS(N($C$32))/$W$77),0)</f>
        <v>0.0</v>
      </c>
      <c r="AD44" s="101">
        <f>IF(V44,IF($W$61,ABS(N(F44)),ABS(N($C$33))/$W$77),0)</f>
        <v>0.0</v>
      </c>
      <c r="AE44" s="101">
        <f>SQRT(AC44^2+AD44^2)</f>
        <v>0.0</v>
      </c>
      <c r="AF44" s="101">
        <f>ABS(W44)</f>
        <v>0.0</v>
      </c>
      <c r="AG44" s="101">
        <f>ABS(X44)</f>
        <v>0.0</v>
      </c>
      <c r="AH44" s="101" t="b">
        <f>AF44&gt;$W$69</f>
        <v>0</v>
      </c>
      <c r="AI44" s="101" t="b">
        <f>AG44&gt;$W$70</f>
        <v>0</v>
      </c>
      <c r="AJ44" s="101">
        <f>SQRT(W44^2+X44^2)</f>
        <v>0.0</v>
      </c>
      <c r="AK44" s="101" t="b">
        <f>IF(AND(AH44,AI44),$W$64,AH44)</f>
        <v>0</v>
      </c>
      <c r="AL44" s="101">
        <f>IF($W$63,AG44-$W$68/2,($W$70-$W$68)-AG44)</f>
        <v>-0.4</v>
      </c>
      <c r="AM44" s="101">
        <f>($W$69-$W$67)-AF44</f>
        <v>18.6</v>
      </c>
      <c r="AN44" s="101">
        <f>IF($W$62,IF(AJ44&gt;$W$65/2,AJ44-$W$65/2,$W$65/2-$W$67-AJ44),IF(OR(AH44,AI44),IF(AK44,AF44-$W$69,AG44-$W$70),MIN(AL44,AM44)))</f>
        <v>-0.4</v>
      </c>
      <c r="AO44" s="101">
        <f>IF($W$62,IF(AJ44&gt;$W$65/2,MIN($C$17/2-AF44,$C$18/2-AG44),1.25*AN44),IF(OR(AH44,AI44),IF(AK44,$C$17/2-AF44,$C$18/2-AG44),IF(AND(AL44&lt;=AM44,$W$63),$C$18/2-AG44,1.25*AN44)))</f>
        <v>15.0</v>
      </c>
      <c r="AP44" s="101">
        <f>IF(V44,IF($W$62,2*PI()*MAX(AJ44,0.1)/$W$77,IF(OR(AH44,AI44),IF(AK44,$C$18/SUMPRODUCT(--($V$37:$V$48),--($W$37:$W$48=W44)),$C$17/SUMPRODUCT(--($V$37:$V$48),--($X$37:$X$48=X44))),IF(AL44&lt;=AM44,($W$65-2*$W$67)/SUMPRODUCT(--($V$37:$V$48),--($X$37:$X$48=X44)),IF($W$63,$W$66,$W$66-2*$W$68)/SUMPRODUCT(--($V$37:$V$48),--($W$37:$W$48=W44))))),1)</f>
        <v>1.0</v>
      </c>
      <c r="AQ44" s="101">
        <f>MAX(0.1,AN44)</f>
        <v>0.1</v>
      </c>
      <c r="AR44" s="101">
        <f>MAX(0.1,MIN(AO44,1.25*AQ44))</f>
        <v>0.125</v>
      </c>
      <c r="AS44" s="101">
        <f>AP44*$C$19^4/(AR44*AQ44^2*$W$78)</f>
        <v>37145.2220458349</v>
      </c>
      <c r="AT44" s="101">
        <f>IF(AND(V44,NOT($W$61),AB44&gt;0),MAX(0,AB44*(0.5-AS44/30)/((3*AR44/(4*AQ44)+1)*(AR44/(3*AQ44)+1)+AS44/6)),0)</f>
        <v>0.0</v>
      </c>
      <c r="AU44" s="101">
        <f>AB44+AT44</f>
        <v>0.0</v>
      </c>
      <c r="AV44" s="101">
        <f>IF(AB44&gt;0,MAX(AB44*AQ44-AT44*AR44,AT44*AR44)/AP44,0)</f>
        <v>0.0</v>
      </c>
      <c r="AW44" s="101">
        <f>$C$23/2-AF44</f>
        <v>40.0</v>
      </c>
      <c r="AX44" s="101">
        <f>$C$24/2-AG44</f>
        <v>30.0</v>
      </c>
      <c r="AY44" s="101">
        <f>IF(V44,MIN(AW44,AX44),"")</f>
        <v/>
      </c>
      <c r="BI44" s="101">
        <f>IF(AND(V44,V45),SQRT((W44-W45)^2+(X44-X45)^2),"")</f>
        <v/>
      </c>
      <c r="BJ44" s="101">
        <f>IF(AND(V44,V46),SQRT((W44-W46)^2+(X44-X46)^2),"")</f>
        <v/>
      </c>
      <c r="BK44" s="101">
        <f>IF(AND(V44,V47),SQRT((W44-W47)^2+(X44-X47)^2),"")</f>
        <v/>
      </c>
      <c r="BL44" s="101">
        <f>IF(AND(V44,V48),SQRT((W44-W48)^2+(X44-X48)^2),"")</f>
        <v/>
      </c>
      <c r="BM44" s="101" t="b">
        <f>IF(V44,AND(AF44&lt;=$C$17/2-1.5*'2-Anchor Bolt'!$C$12/10,AG44&lt;=$C$18/2-1.5*'2-Anchor Bolt'!$C$12/10),TRUE)</f>
        <v>1</v>
      </c>
      <c r="BT44" s="101">
        <f>IF($W$62,$W$69*COS((2*PI()*7/36)),IF($W$63,(1*$W$69+(-1)*$W$67),-1*$W$69))/$W$126</f>
        <v>0.3875</v>
      </c>
      <c r="BU44" s="101">
        <f>IF($W$62,$W$69*SIN((2*PI()*7/36)),IF($W$63,(1*$W$70),-1*$W$70))/$W$126</f>
        <v>0.208333333333333</v>
      </c>
      <c r="BV44" s="101">
        <f>IF($W$62,($W$69-$W$67)*COS((2*PI()*7/36)),IF($W$63,-$W$69,-1*($W$69-$W$67)))/$W$126</f>
        <v>-0.416666666666667</v>
      </c>
      <c r="BW44" s="101">
        <f>IF($W$62,($W$69-$W$67)*SIN((2*PI()*7/36)),IF($W$63,-$W$70,-1*($W$70-$W$68)))/$W$126</f>
        <v>-0.208333333333333</v>
      </c>
      <c r="CJ44" s="101">
        <f>IF(OR($W$88="A",AND($W$88="C",ISNUMBER($W$127))),IF($W$64,IF($W$88="A",-$W$75*$W$71/2,$W$127),(-$W$72/2+$W$72*7/20)),NA())/$W$126</f>
        <v>0.0772313669477929</v>
      </c>
      <c r="CK44" s="101">
        <f>IF(OR($W$88="A",AND($W$88="C",ISNUMBER($W$127))),IF($W$64,(-$W$72/2+$W$72*7/20),IF($W$88="A",-$W$75*$W$71/2,$W$127)),NA())/$W$126</f>
        <v>-0.09375</v>
      </c>
      <c r="CL44" s="101" t="e">
        <f>IF(V44,W44/$W$126,NA())</f>
        <v>#N/A</v>
      </c>
      <c r="CM44" s="101" t="e">
        <f>IF(V44,X44/$W$126,NA())</f>
        <v>#N/A</v>
      </c>
      <c r="CN44" s="101">
        <f>IF(V44,"("&amp;TEXT(W44,"0.0")&amp;" , "&amp;TEXT(X44,"0.0")&amp;")","")</f>
        <v/>
      </c>
    </row>
    <row r="45" ht="14.25" customHeight="1" s="16">
      <c r="A45" s="61" t="n">
        <v>9</v>
      </c>
      <c r="B45" s="100" t="n"/>
      <c r="C45" s="100" t="n"/>
      <c r="D45" s="100" t="n"/>
      <c r="E45" s="100" t="n"/>
      <c r="F45" s="100" t="n"/>
      <c r="V45" s="101" t="b">
        <f>AND(ISNUMBER(B45),ISNUMBER(C45))</f>
        <v>0</v>
      </c>
      <c r="W45" s="101">
        <f>IF(V45,B45,0)</f>
        <v>0.0</v>
      </c>
      <c r="X45" s="101">
        <f>IF(V45,C45,0)</f>
        <v>0.0</v>
      </c>
      <c r="Y45" s="101">
        <f>IF($W$64,W45,X45)</f>
        <v>0.0</v>
      </c>
      <c r="Z45" s="101">
        <f>IF(V45,$W$71/2-$W$75*Y45,-1)</f>
        <v>-1.0</v>
      </c>
      <c r="AA45" s="101">
        <f>IF(V45,IF($W$88="B",$W$86+$W$85*(Z45-$W$82),IF($W$88="C",$W$93*$W$81*MAX(Z45-$W$90,0),0)),0)</f>
        <v>0.0</v>
      </c>
      <c r="AB45" s="101">
        <f>IF(V45,IF($W$61,MAX(0,N(D45)),MAX(0,AA45)),0)</f>
        <v>0.0</v>
      </c>
      <c r="AC45" s="101">
        <f>IF(V45,IF($W$61,ABS(N(E45)),ABS(N($C$32))/$W$77),0)</f>
        <v>0.0</v>
      </c>
      <c r="AD45" s="101">
        <f>IF(V45,IF($W$61,ABS(N(F45)),ABS(N($C$33))/$W$77),0)</f>
        <v>0.0</v>
      </c>
      <c r="AE45" s="101">
        <f>SQRT(AC45^2+AD45^2)</f>
        <v>0.0</v>
      </c>
      <c r="AF45" s="101">
        <f>ABS(W45)</f>
        <v>0.0</v>
      </c>
      <c r="AG45" s="101">
        <f>ABS(X45)</f>
        <v>0.0</v>
      </c>
      <c r="AH45" s="101" t="b">
        <f>AF45&gt;$W$69</f>
        <v>0</v>
      </c>
      <c r="AI45" s="101" t="b">
        <f>AG45&gt;$W$70</f>
        <v>0</v>
      </c>
      <c r="AJ45" s="101">
        <f>SQRT(W45^2+X45^2)</f>
        <v>0.0</v>
      </c>
      <c r="AK45" s="101" t="b">
        <f>IF(AND(AH45,AI45),$W$64,AH45)</f>
        <v>0</v>
      </c>
      <c r="AL45" s="101">
        <f>IF($W$63,AG45-$W$68/2,($W$70-$W$68)-AG45)</f>
        <v>-0.4</v>
      </c>
      <c r="AM45" s="101">
        <f>($W$69-$W$67)-AF45</f>
        <v>18.6</v>
      </c>
      <c r="AN45" s="101">
        <f>IF($W$62,IF(AJ45&gt;$W$65/2,AJ45-$W$65/2,$W$65/2-$W$67-AJ45),IF(OR(AH45,AI45),IF(AK45,AF45-$W$69,AG45-$W$70),MIN(AL45,AM45)))</f>
        <v>-0.4</v>
      </c>
      <c r="AO45" s="101">
        <f>IF($W$62,IF(AJ45&gt;$W$65/2,MIN($C$17/2-AF45,$C$18/2-AG45),1.25*AN45),IF(OR(AH45,AI45),IF(AK45,$C$17/2-AF45,$C$18/2-AG45),IF(AND(AL45&lt;=AM45,$W$63),$C$18/2-AG45,1.25*AN45)))</f>
        <v>15.0</v>
      </c>
      <c r="AP45" s="101">
        <f>IF(V45,IF($W$62,2*PI()*MAX(AJ45,0.1)/$W$77,IF(OR(AH45,AI45),IF(AK45,$C$18/SUMPRODUCT(--($V$37:$V$48),--($W$37:$W$48=W45)),$C$17/SUMPRODUCT(--($V$37:$V$48),--($X$37:$X$48=X45))),IF(AL45&lt;=AM45,($W$65-2*$W$67)/SUMPRODUCT(--($V$37:$V$48),--($X$37:$X$48=X45)),IF($W$63,$W$66,$W$66-2*$W$68)/SUMPRODUCT(--($V$37:$V$48),--($W$37:$W$48=W45))))),1)</f>
        <v>1.0</v>
      </c>
      <c r="AQ45" s="101">
        <f>MAX(0.1,AN45)</f>
        <v>0.1</v>
      </c>
      <c r="AR45" s="101">
        <f>MAX(0.1,MIN(AO45,1.25*AQ45))</f>
        <v>0.125</v>
      </c>
      <c r="AS45" s="101">
        <f>AP45*$C$19^4/(AR45*AQ45^2*$W$78)</f>
        <v>37145.2220458349</v>
      </c>
      <c r="AT45" s="101">
        <f>IF(AND(V45,NOT($W$61),AB45&gt;0),MAX(0,AB45*(0.5-AS45/30)/((3*AR45/(4*AQ45)+1)*(AR45/(3*AQ45)+1)+AS45/6)),0)</f>
        <v>0.0</v>
      </c>
      <c r="AU45" s="101">
        <f>AB45+AT45</f>
        <v>0.0</v>
      </c>
      <c r="AV45" s="101">
        <f>IF(AB45&gt;0,MAX(AB45*AQ45-AT45*AR45,AT45*AR45)/AP45,0)</f>
        <v>0.0</v>
      </c>
      <c r="AW45" s="101">
        <f>$C$23/2-AF45</f>
        <v>40.0</v>
      </c>
      <c r="AX45" s="101">
        <f>$C$24/2-AG45</f>
        <v>30.0</v>
      </c>
      <c r="AY45" s="101">
        <f>IF(V45,MIN(AW45,AX45),"")</f>
        <v/>
      </c>
      <c r="BJ45" s="101">
        <f>IF(AND(V45,V46),SQRT((W45-W46)^2+(X45-X46)^2),"")</f>
        <v/>
      </c>
      <c r="BK45" s="101">
        <f>IF(AND(V45,V47),SQRT((W45-W47)^2+(X45-X47)^2),"")</f>
        <v/>
      </c>
      <c r="BL45" s="101">
        <f>IF(AND(V45,V48),SQRT((W45-W48)^2+(X45-X48)^2),"")</f>
        <v/>
      </c>
      <c r="BM45" s="101" t="b">
        <f>IF(V45,AND(AF45&lt;=$C$17/2-1.5*'2-Anchor Bolt'!$C$12/10,AG45&lt;=$C$18/2-1.5*'2-Anchor Bolt'!$C$12/10),TRUE)</f>
        <v>1</v>
      </c>
      <c r="BT45" s="101">
        <f>IF($W$62,$W$69*COS((2*PI()*8/36)),IF($W$63,(1*$W$69+(-1)*$W$67),-1*$W$69))/$W$126</f>
        <v>0.3875</v>
      </c>
      <c r="BU45" s="101">
        <f>IF($W$62,$W$69*SIN((2*PI()*8/36)),IF($W$63,((1)*$W$68/2),-1*$W$70))/$W$126</f>
        <v>0.00833333333333333</v>
      </c>
      <c r="BV45" s="101">
        <f>IF($W$62,($W$69-$W$67)*COS((2*PI()*8/36)),IF($W$63,-$W$69,-1*($W$69-$W$67)))/$W$126</f>
        <v>-0.416666666666667</v>
      </c>
      <c r="BW45" s="101">
        <f>IF($W$62,($W$69-$W$67)*SIN((2*PI()*8/36)),IF($W$63,-$W$70,-1*($W$70-$W$68)))/$W$126</f>
        <v>-0.208333333333333</v>
      </c>
      <c r="CJ45" s="101">
        <f>IF(OR($W$88="A",AND($W$88="C",ISNUMBER($W$127))),IF($W$64,$W$75*$W$71/2,(-$W$72/2+$W$72*8/20)),NA())/$W$126</f>
        <v>0.625</v>
      </c>
      <c r="CK45" s="101">
        <f>IF(OR($W$88="A",AND($W$88="C",ISNUMBER($W$127))),IF($W$64,(-$W$72/2+$W$72*8/20),$W$75*$W$71/2),NA())/$W$126</f>
        <v>-0.0625</v>
      </c>
      <c r="CL45" s="101" t="e">
        <f>IF(V45,W45/$W$126,NA())</f>
        <v>#N/A</v>
      </c>
      <c r="CM45" s="101" t="e">
        <f>IF(V45,X45/$W$126,NA())</f>
        <v>#N/A</v>
      </c>
      <c r="CN45" s="101">
        <f>IF(V45,"("&amp;TEXT(W45,"0.0")&amp;" , "&amp;TEXT(X45,"0.0")&amp;")","")</f>
        <v/>
      </c>
    </row>
    <row r="46" ht="14.25" customHeight="1" s="16">
      <c r="A46" s="61" t="n">
        <v>10</v>
      </c>
      <c r="B46" s="100" t="n"/>
      <c r="C46" s="100" t="n"/>
      <c r="D46" s="100" t="n"/>
      <c r="E46" s="100" t="n"/>
      <c r="F46" s="100" t="n"/>
      <c r="V46" s="101" t="b">
        <f>AND(ISNUMBER(B46),ISNUMBER(C46))</f>
        <v>0</v>
      </c>
      <c r="W46" s="101">
        <f>IF(V46,B46,0)</f>
        <v>0.0</v>
      </c>
      <c r="X46" s="101">
        <f>IF(V46,C46,0)</f>
        <v>0.0</v>
      </c>
      <c r="Y46" s="101">
        <f>IF($W$64,W46,X46)</f>
        <v>0.0</v>
      </c>
      <c r="Z46" s="101">
        <f>IF(V46,$W$71/2-$W$75*Y46,-1)</f>
        <v>-1.0</v>
      </c>
      <c r="AA46" s="101">
        <f>IF(V46,IF($W$88="B",$W$86+$W$85*(Z46-$W$82),IF($W$88="C",$W$93*$W$81*MAX(Z46-$W$90,0),0)),0)</f>
        <v>0.0</v>
      </c>
      <c r="AB46" s="101">
        <f>IF(V46,IF($W$61,MAX(0,N(D46)),MAX(0,AA46)),0)</f>
        <v>0.0</v>
      </c>
      <c r="AC46" s="101">
        <f>IF(V46,IF($W$61,ABS(N(E46)),ABS(N($C$32))/$W$77),0)</f>
        <v>0.0</v>
      </c>
      <c r="AD46" s="101">
        <f>IF(V46,IF($W$61,ABS(N(F46)),ABS(N($C$33))/$W$77),0)</f>
        <v>0.0</v>
      </c>
      <c r="AE46" s="101">
        <f>SQRT(AC46^2+AD46^2)</f>
        <v>0.0</v>
      </c>
      <c r="AF46" s="101">
        <f>ABS(W46)</f>
        <v>0.0</v>
      </c>
      <c r="AG46" s="101">
        <f>ABS(X46)</f>
        <v>0.0</v>
      </c>
      <c r="AH46" s="101" t="b">
        <f>AF46&gt;$W$69</f>
        <v>0</v>
      </c>
      <c r="AI46" s="101" t="b">
        <f>AG46&gt;$W$70</f>
        <v>0</v>
      </c>
      <c r="AJ46" s="101">
        <f>SQRT(W46^2+X46^2)</f>
        <v>0.0</v>
      </c>
      <c r="AK46" s="101" t="b">
        <f>IF(AND(AH46,AI46),$W$64,AH46)</f>
        <v>0</v>
      </c>
      <c r="AL46" s="101">
        <f>IF($W$63,AG46-$W$68/2,($W$70-$W$68)-AG46)</f>
        <v>-0.4</v>
      </c>
      <c r="AM46" s="101">
        <f>($W$69-$W$67)-AF46</f>
        <v>18.6</v>
      </c>
      <c r="AN46" s="101">
        <f>IF($W$62,IF(AJ46&gt;$W$65/2,AJ46-$W$65/2,$W$65/2-$W$67-AJ46),IF(OR(AH46,AI46),IF(AK46,AF46-$W$69,AG46-$W$70),MIN(AL46,AM46)))</f>
        <v>-0.4</v>
      </c>
      <c r="AO46" s="101">
        <f>IF($W$62,IF(AJ46&gt;$W$65/2,MIN($C$17/2-AF46,$C$18/2-AG46),1.25*AN46),IF(OR(AH46,AI46),IF(AK46,$C$17/2-AF46,$C$18/2-AG46),IF(AND(AL46&lt;=AM46,$W$63),$C$18/2-AG46,1.25*AN46)))</f>
        <v>15.0</v>
      </c>
      <c r="AP46" s="101">
        <f>IF(V46,IF($W$62,2*PI()*MAX(AJ46,0.1)/$W$77,IF(OR(AH46,AI46),IF(AK46,$C$18/SUMPRODUCT(--($V$37:$V$48),--($W$37:$W$48=W46)),$C$17/SUMPRODUCT(--($V$37:$V$48),--($X$37:$X$48=X46))),IF(AL46&lt;=AM46,($W$65-2*$W$67)/SUMPRODUCT(--($V$37:$V$48),--($X$37:$X$48=X46)),IF($W$63,$W$66,$W$66-2*$W$68)/SUMPRODUCT(--($V$37:$V$48),--($W$37:$W$48=W46))))),1)</f>
        <v>1.0</v>
      </c>
      <c r="AQ46" s="101">
        <f>MAX(0.1,AN46)</f>
        <v>0.1</v>
      </c>
      <c r="AR46" s="101">
        <f>MAX(0.1,MIN(AO46,1.25*AQ46))</f>
        <v>0.125</v>
      </c>
      <c r="AS46" s="101">
        <f>AP46*$C$19^4/(AR46*AQ46^2*$W$78)</f>
        <v>37145.2220458349</v>
      </c>
      <c r="AT46" s="101">
        <f>IF(AND(V46,NOT($W$61),AB46&gt;0),MAX(0,AB46*(0.5-AS46/30)/((3*AR46/(4*AQ46)+1)*(AR46/(3*AQ46)+1)+AS46/6)),0)</f>
        <v>0.0</v>
      </c>
      <c r="AU46" s="101">
        <f>AB46+AT46</f>
        <v>0.0</v>
      </c>
      <c r="AV46" s="101">
        <f>IF(AB46&gt;0,MAX(AB46*AQ46-AT46*AR46,AT46*AR46)/AP46,0)</f>
        <v>0.0</v>
      </c>
      <c r="AW46" s="101">
        <f>$C$23/2-AF46</f>
        <v>40.0</v>
      </c>
      <c r="AX46" s="101">
        <f>$C$24/2-AG46</f>
        <v>30.0</v>
      </c>
      <c r="AY46" s="101">
        <f>IF(V46,MIN(AW46,AX46),"")</f>
        <v/>
      </c>
      <c r="BK46" s="101">
        <f>IF(AND(V46,V47),SQRT((W46-W47)^2+(X46-X47)^2),"")</f>
        <v/>
      </c>
      <c r="BL46" s="101">
        <f>IF(AND(V46,V48),SQRT((W46-W48)^2+(X46-X48)^2),"")</f>
        <v/>
      </c>
      <c r="BM46" s="101" t="b">
        <f>IF(V46,AND(AF46&lt;=$C$17/2-1.5*'2-Anchor Bolt'!$C$12/10,AG46&lt;=$C$18/2-1.5*'2-Anchor Bolt'!$C$12/10),TRUE)</f>
        <v>1</v>
      </c>
      <c r="BT46" s="101">
        <f>IF($W$62,$W$69*COS((2*PI()*9/36)),IF($W$63,(-1*$W$69+(1)*$W$67),-1*$W$69))/$W$126</f>
        <v>-0.3875</v>
      </c>
      <c r="BU46" s="101">
        <f>IF($W$62,$W$69*SIN((2*PI()*9/36)),IF($W$63,((1)*$W$68/2),-1*$W$70))/$W$126</f>
        <v>0.00833333333333333</v>
      </c>
      <c r="BV46" s="101">
        <f>IF($W$62,($W$69-$W$67)*COS((2*PI()*9/36)),IF($W$63,-$W$69,-1*($W$69-$W$67)))/$W$126</f>
        <v>-0.416666666666667</v>
      </c>
      <c r="BW46" s="101">
        <f>IF($W$62,($W$69-$W$67)*SIN((2*PI()*9/36)),IF($W$63,-$W$70,-1*($W$70-$W$68)))/$W$126</f>
        <v>-0.208333333333333</v>
      </c>
      <c r="CJ46" s="101">
        <f>IF(OR($W$88="A",AND($W$88="C",ISNUMBER($W$127))),IF($W$64,IF($W$88="A",-$W$75*$W$71/2,$W$127),(-$W$72/2+$W$72*9/20)),NA())/$W$126</f>
        <v>0.0772313669477929</v>
      </c>
      <c r="CK46" s="101">
        <f>IF(OR($W$88="A",AND($W$88="C",ISNUMBER($W$127))),IF($W$64,(-$W$72/2+$W$72*9/20),IF($W$88="A",-$W$75*$W$71/2,$W$127)),NA())/$W$126</f>
        <v>-0.03125</v>
      </c>
      <c r="CL46" s="101" t="e">
        <f>IF(V46,W46/$W$126,NA())</f>
        <v>#N/A</v>
      </c>
      <c r="CM46" s="101" t="e">
        <f>IF(V46,X46/$W$126,NA())</f>
        <v>#N/A</v>
      </c>
      <c r="CN46" s="101">
        <f>IF(V46,"("&amp;TEXT(W46,"0.0")&amp;" , "&amp;TEXT(X46,"0.0")&amp;")","")</f>
        <v/>
      </c>
    </row>
    <row r="47" ht="14.25" customHeight="1" s="16">
      <c r="A47" s="61" t="n">
        <v>11</v>
      </c>
      <c r="B47" s="100" t="n"/>
      <c r="C47" s="100" t="n"/>
      <c r="D47" s="100" t="n"/>
      <c r="E47" s="100" t="n"/>
      <c r="F47" s="100" t="n"/>
      <c r="V47" s="101" t="b">
        <f>AND(ISNUMBER(B47),ISNUMBER(C47))</f>
        <v>0</v>
      </c>
      <c r="W47" s="101">
        <f>IF(V47,B47,0)</f>
        <v>0.0</v>
      </c>
      <c r="X47" s="101">
        <f>IF(V47,C47,0)</f>
        <v>0.0</v>
      </c>
      <c r="Y47" s="101">
        <f>IF($W$64,W47,X47)</f>
        <v>0.0</v>
      </c>
      <c r="Z47" s="101">
        <f>IF(V47,$W$71/2-$W$75*Y47,-1)</f>
        <v>-1.0</v>
      </c>
      <c r="AA47" s="101">
        <f>IF(V47,IF($W$88="B",$W$86+$W$85*(Z47-$W$82),IF($W$88="C",$W$93*$W$81*MAX(Z47-$W$90,0),0)),0)</f>
        <v>0.0</v>
      </c>
      <c r="AB47" s="101">
        <f>IF(V47,IF($W$61,MAX(0,N(D47)),MAX(0,AA47)),0)</f>
        <v>0.0</v>
      </c>
      <c r="AC47" s="101">
        <f>IF(V47,IF($W$61,ABS(N(E47)),ABS(N($C$32))/$W$77),0)</f>
        <v>0.0</v>
      </c>
      <c r="AD47" s="101">
        <f>IF(V47,IF($W$61,ABS(N(F47)),ABS(N($C$33))/$W$77),0)</f>
        <v>0.0</v>
      </c>
      <c r="AE47" s="101">
        <f>SQRT(AC47^2+AD47^2)</f>
        <v>0.0</v>
      </c>
      <c r="AF47" s="101">
        <f>ABS(W47)</f>
        <v>0.0</v>
      </c>
      <c r="AG47" s="101">
        <f>ABS(X47)</f>
        <v>0.0</v>
      </c>
      <c r="AH47" s="101" t="b">
        <f>AF47&gt;$W$69</f>
        <v>0</v>
      </c>
      <c r="AI47" s="101" t="b">
        <f>AG47&gt;$W$70</f>
        <v>0</v>
      </c>
      <c r="AJ47" s="101">
        <f>SQRT(W47^2+X47^2)</f>
        <v>0.0</v>
      </c>
      <c r="AK47" s="101" t="b">
        <f>IF(AND(AH47,AI47),$W$64,AH47)</f>
        <v>0</v>
      </c>
      <c r="AL47" s="101">
        <f>IF($W$63,AG47-$W$68/2,($W$70-$W$68)-AG47)</f>
        <v>-0.4</v>
      </c>
      <c r="AM47" s="101">
        <f>($W$69-$W$67)-AF47</f>
        <v>18.6</v>
      </c>
      <c r="AN47" s="101">
        <f>IF($W$62,IF(AJ47&gt;$W$65/2,AJ47-$W$65/2,$W$65/2-$W$67-AJ47),IF(OR(AH47,AI47),IF(AK47,AF47-$W$69,AG47-$W$70),MIN(AL47,AM47)))</f>
        <v>-0.4</v>
      </c>
      <c r="AO47" s="101">
        <f>IF($W$62,IF(AJ47&gt;$W$65/2,MIN($C$17/2-AF47,$C$18/2-AG47),1.25*AN47),IF(OR(AH47,AI47),IF(AK47,$C$17/2-AF47,$C$18/2-AG47),IF(AND(AL47&lt;=AM47,$W$63),$C$18/2-AG47,1.25*AN47)))</f>
        <v>15.0</v>
      </c>
      <c r="AP47" s="101">
        <f>IF(V47,IF($W$62,2*PI()*MAX(AJ47,0.1)/$W$77,IF(OR(AH47,AI47),IF(AK47,$C$18/SUMPRODUCT(--($V$37:$V$48),--($W$37:$W$48=W47)),$C$17/SUMPRODUCT(--($V$37:$V$48),--($X$37:$X$48=X47))),IF(AL47&lt;=AM47,($W$65-2*$W$67)/SUMPRODUCT(--($V$37:$V$48),--($X$37:$X$48=X47)),IF($W$63,$W$66,$W$66-2*$W$68)/SUMPRODUCT(--($V$37:$V$48),--($W$37:$W$48=W47))))),1)</f>
        <v>1.0</v>
      </c>
      <c r="AQ47" s="101">
        <f>MAX(0.1,AN47)</f>
        <v>0.1</v>
      </c>
      <c r="AR47" s="101">
        <f>MAX(0.1,MIN(AO47,1.25*AQ47))</f>
        <v>0.125</v>
      </c>
      <c r="AS47" s="101">
        <f>AP47*$C$19^4/(AR47*AQ47^2*$W$78)</f>
        <v>37145.2220458349</v>
      </c>
      <c r="AT47" s="101">
        <f>IF(AND(V47,NOT($W$61),AB47&gt;0),MAX(0,AB47*(0.5-AS47/30)/((3*AR47/(4*AQ47)+1)*(AR47/(3*AQ47)+1)+AS47/6)),0)</f>
        <v>0.0</v>
      </c>
      <c r="AU47" s="101">
        <f>AB47+AT47</f>
        <v>0.0</v>
      </c>
      <c r="AV47" s="101">
        <f>IF(AB47&gt;0,MAX(AB47*AQ47-AT47*AR47,AT47*AR47)/AP47,0)</f>
        <v>0.0</v>
      </c>
      <c r="AW47" s="101">
        <f>$C$23/2-AF47</f>
        <v>40.0</v>
      </c>
      <c r="AX47" s="101">
        <f>$C$24/2-AG47</f>
        <v>30.0</v>
      </c>
      <c r="AY47" s="101">
        <f>IF(V47,MIN(AW47,AX47),"")</f>
        <v/>
      </c>
      <c r="BL47" s="101">
        <f>IF(AND(V47,V48),SQRT((W47-W48)^2+(X47-X48)^2),"")</f>
        <v/>
      </c>
      <c r="BM47" s="101" t="b">
        <f>IF(V47,AND(AF47&lt;=$C$17/2-1.5*'2-Anchor Bolt'!$C$12/10,AG47&lt;=$C$18/2-1.5*'2-Anchor Bolt'!$C$12/10),TRUE)</f>
        <v>1</v>
      </c>
      <c r="BT47" s="101">
        <f>IF($W$62,$W$69*COS((2*PI()*10/36)),IF($W$63,(-1*$W$69+(1)*$W$67),-1*$W$69))/$W$126</f>
        <v>-0.3875</v>
      </c>
      <c r="BU47" s="101">
        <f>IF($W$62,$W$69*SIN((2*PI()*10/36)),IF($W$63,(1*$W$70),-1*$W$70))/$W$126</f>
        <v>0.208333333333333</v>
      </c>
      <c r="BV47" s="101">
        <f>IF($W$62,($W$69-$W$67)*COS((2*PI()*10/36)),IF($W$63,-$W$69,-1*($W$69-$W$67)))/$W$126</f>
        <v>-0.416666666666667</v>
      </c>
      <c r="BW47" s="101">
        <f>IF($W$62,($W$69-$W$67)*SIN((2*PI()*10/36)),IF($W$63,-$W$70,-1*($W$70-$W$68)))/$W$126</f>
        <v>-0.208333333333333</v>
      </c>
      <c r="CJ47" s="101">
        <f>IF(OR($W$88="A",AND($W$88="C",ISNUMBER($W$127))),IF($W$64,$W$75*$W$71/2,(-$W$72/2+$W$72*10/20)),NA())/$W$126</f>
        <v>0.625</v>
      </c>
      <c r="CK47" s="101">
        <f>IF(OR($W$88="A",AND($W$88="C",ISNUMBER($W$127))),IF($W$64,(-$W$72/2+$W$72*10/20),$W$75*$W$71/2),NA())/$W$126</f>
        <v>0.0</v>
      </c>
      <c r="CL47" s="101" t="e">
        <f>IF(V47,W47/$W$126,NA())</f>
        <v>#N/A</v>
      </c>
      <c r="CM47" s="101" t="e">
        <f>IF(V47,X47/$W$126,NA())</f>
        <v>#N/A</v>
      </c>
      <c r="CN47" s="101">
        <f>IF(V47,"("&amp;TEXT(W47,"0.0")&amp;" , "&amp;TEXT(X47,"0.0")&amp;")","")</f>
        <v/>
      </c>
    </row>
    <row r="48" ht="14.25" customHeight="1" s="16">
      <c r="A48" s="61" t="n">
        <v>12</v>
      </c>
      <c r="B48" s="100" t="n"/>
      <c r="C48" s="100" t="n"/>
      <c r="D48" s="100" t="n"/>
      <c r="E48" s="100" t="n"/>
      <c r="F48" s="100" t="n"/>
      <c r="V48" s="101" t="b">
        <f>AND(ISNUMBER(B48),ISNUMBER(C48))</f>
        <v>0</v>
      </c>
      <c r="W48" s="101">
        <f>IF(V48,B48,0)</f>
        <v>0.0</v>
      </c>
      <c r="X48" s="101">
        <f>IF(V48,C48,0)</f>
        <v>0.0</v>
      </c>
      <c r="Y48" s="101">
        <f>IF($W$64,W48,X48)</f>
        <v>0.0</v>
      </c>
      <c r="Z48" s="101">
        <f>IF(V48,$W$71/2-$W$75*Y48,-1)</f>
        <v>-1.0</v>
      </c>
      <c r="AA48" s="101">
        <f>IF(V48,IF($W$88="B",$W$86+$W$85*(Z48-$W$82),IF($W$88="C",$W$93*$W$81*MAX(Z48-$W$90,0),0)),0)</f>
        <v>0.0</v>
      </c>
      <c r="AB48" s="101">
        <f>IF(V48,IF($W$61,MAX(0,N(D48)),MAX(0,AA48)),0)</f>
        <v>0.0</v>
      </c>
      <c r="AC48" s="101">
        <f>IF(V48,IF($W$61,ABS(N(E48)),ABS(N($C$32))/$W$77),0)</f>
        <v>0.0</v>
      </c>
      <c r="AD48" s="101">
        <f>IF(V48,IF($W$61,ABS(N(F48)),ABS(N($C$33))/$W$77),0)</f>
        <v>0.0</v>
      </c>
      <c r="AE48" s="101">
        <f>SQRT(AC48^2+AD48^2)</f>
        <v>0.0</v>
      </c>
      <c r="AF48" s="101">
        <f>ABS(W48)</f>
        <v>0.0</v>
      </c>
      <c r="AG48" s="101">
        <f>ABS(X48)</f>
        <v>0.0</v>
      </c>
      <c r="AH48" s="101" t="b">
        <f>AF48&gt;$W$69</f>
        <v>0</v>
      </c>
      <c r="AI48" s="101" t="b">
        <f>AG48&gt;$W$70</f>
        <v>0</v>
      </c>
      <c r="AJ48" s="101">
        <f>SQRT(W48^2+X48^2)</f>
        <v>0.0</v>
      </c>
      <c r="AK48" s="101" t="b">
        <f>IF(AND(AH48,AI48),$W$64,AH48)</f>
        <v>0</v>
      </c>
      <c r="AL48" s="101">
        <f>IF($W$63,AG48-$W$68/2,($W$70-$W$68)-AG48)</f>
        <v>-0.4</v>
      </c>
      <c r="AM48" s="101">
        <f>($W$69-$W$67)-AF48</f>
        <v>18.6</v>
      </c>
      <c r="AN48" s="101">
        <f>IF($W$62,IF(AJ48&gt;$W$65/2,AJ48-$W$65/2,$W$65/2-$W$67-AJ48),IF(OR(AH48,AI48),IF(AK48,AF48-$W$69,AG48-$W$70),MIN(AL48,AM48)))</f>
        <v>-0.4</v>
      </c>
      <c r="AO48" s="101">
        <f>IF($W$62,IF(AJ48&gt;$W$65/2,MIN($C$17/2-AF48,$C$18/2-AG48),1.25*AN48),IF(OR(AH48,AI48),IF(AK48,$C$17/2-AF48,$C$18/2-AG48),IF(AND(AL48&lt;=AM48,$W$63),$C$18/2-AG48,1.25*AN48)))</f>
        <v>15.0</v>
      </c>
      <c r="AP48" s="101">
        <f>IF(V48,IF($W$62,2*PI()*MAX(AJ48,0.1)/$W$77,IF(OR(AH48,AI48),IF(AK48,$C$18/SUMPRODUCT(--($V$37:$V$48),--($W$37:$W$48=W48)),$C$17/SUMPRODUCT(--($V$37:$V$48),--($X$37:$X$48=X48))),IF(AL48&lt;=AM48,($W$65-2*$W$67)/SUMPRODUCT(--($V$37:$V$48),--($X$37:$X$48=X48)),IF($W$63,$W$66,$W$66-2*$W$68)/SUMPRODUCT(--($V$37:$V$48),--($W$37:$W$48=W48))))),1)</f>
        <v>1.0</v>
      </c>
      <c r="AQ48" s="101">
        <f>MAX(0.1,AN48)</f>
        <v>0.1</v>
      </c>
      <c r="AR48" s="101">
        <f>MAX(0.1,MIN(AO48,1.25*AQ48))</f>
        <v>0.125</v>
      </c>
      <c r="AS48" s="101">
        <f>AP48*$C$19^4/(AR48*AQ48^2*$W$78)</f>
        <v>37145.2220458349</v>
      </c>
      <c r="AT48" s="101">
        <f>IF(AND(V48,NOT($W$61),AB48&gt;0),MAX(0,AB48*(0.5-AS48/30)/((3*AR48/(4*AQ48)+1)*(AR48/(3*AQ48)+1)+AS48/6)),0)</f>
        <v>0.0</v>
      </c>
      <c r="AU48" s="101">
        <f>AB48+AT48</f>
        <v>0.0</v>
      </c>
      <c r="AV48" s="101">
        <f>IF(AB48&gt;0,MAX(AB48*AQ48-AT48*AR48,AT48*AR48)/AP48,0)</f>
        <v>0.0</v>
      </c>
      <c r="AW48" s="101">
        <f>$C$23/2-AF48</f>
        <v>40.0</v>
      </c>
      <c r="AX48" s="101">
        <f>$C$24/2-AG48</f>
        <v>30.0</v>
      </c>
      <c r="AY48" s="101">
        <f>IF(V48,MIN(AW48,AX48),"")</f>
        <v/>
      </c>
      <c r="BM48" s="101" t="b">
        <f>IF(V48,AND(AF48&lt;=$C$17/2-1.5*'2-Anchor Bolt'!$C$12/10,AG48&lt;=$C$18/2-1.5*'2-Anchor Bolt'!$C$12/10),TRUE)</f>
        <v>1</v>
      </c>
      <c r="BT48" s="101">
        <f>IF($W$62,$W$69*COS((2*PI()*11/36)),IF($W$63,(-1*$W$69+(0)*$W$67),-1*$W$69))/$W$126</f>
        <v>-0.416666666666667</v>
      </c>
      <c r="BU48" s="101">
        <f>IF($W$62,$W$69*SIN((2*PI()*11/36)),IF($W$63,(1*$W$70),-1*$W$70))/$W$126</f>
        <v>0.208333333333333</v>
      </c>
      <c r="BV48" s="101">
        <f>IF($W$62,($W$69-$W$67)*COS((2*PI()*11/36)),IF($W$63,-$W$69,-1*($W$69-$W$67)))/$W$126</f>
        <v>-0.416666666666667</v>
      </c>
      <c r="BW48" s="101">
        <f>IF($W$62,($W$69-$W$67)*SIN((2*PI()*11/36)),IF($W$63,-$W$70,-1*($W$70-$W$68)))/$W$126</f>
        <v>-0.208333333333333</v>
      </c>
      <c r="CJ48" s="101">
        <f>IF(OR($W$88="A",AND($W$88="C",ISNUMBER($W$127))),IF($W$64,IF($W$88="A",-$W$75*$W$71/2,$W$127),(-$W$72/2+$W$72*11/20)),NA())/$W$126</f>
        <v>0.0772313669477929</v>
      </c>
      <c r="CK48" s="101">
        <f>IF(OR($W$88="A",AND($W$88="C",ISNUMBER($W$127))),IF($W$64,(-$W$72/2+$W$72*11/20),IF($W$88="A",-$W$75*$W$71/2,$W$127)),NA())/$W$126</f>
        <v>0.03125</v>
      </c>
      <c r="CL48" s="101" t="e">
        <f>IF(V48,W48/$W$126,NA())</f>
        <v>#N/A</v>
      </c>
      <c r="CM48" s="101" t="e">
        <f>IF(V48,X48/$W$126,NA())</f>
        <v>#N/A</v>
      </c>
      <c r="CN48" s="101">
        <f>IF(V48,"("&amp;TEXT(W48,"0.0")&amp;" , "&amp;TEXT(X48,"0.0")&amp;")","")</f>
        <v/>
      </c>
    </row>
    <row r="49">
      <c r="A49" s="97" t="inlineStr">
        <is>
          <t>X along h, Y along b, from the column centre (= pedestal centre). Leave unused rows empty.  T, Vx, Vy only when Forces Input = IDEA.</t>
        </is>
      </c>
      <c r="BT49" s="101">
        <f>IF($W$62,$W$69*COS((2*PI()*12/36)),IF($W$63,(-1*$W$69+(0)*$W$67),-1*$W$69))/$W$126</f>
        <v>-0.416666666666667</v>
      </c>
      <c r="BU49" s="101">
        <f>IF($W$62,$W$69*SIN((2*PI()*12/36)),IF($W$63,(-1*$W$70),-1*$W$70))/$W$126</f>
        <v>-0.208333333333333</v>
      </c>
      <c r="BV49" s="101">
        <f>IF($W$62,($W$69-$W$67)*COS((2*PI()*12/36)),IF($W$63,-$W$69,-1*($W$69-$W$67)))/$W$126</f>
        <v>-0.416666666666667</v>
      </c>
      <c r="BW49" s="101">
        <f>IF($W$62,($W$69-$W$67)*SIN((2*PI()*12/36)),IF($W$63,-$W$70,-1*($W$70-$W$68)))/$W$126</f>
        <v>-0.208333333333333</v>
      </c>
      <c r="CJ49" s="101">
        <f>IF(OR($W$88="A",AND($W$88="C",ISNUMBER($W$127))),IF($W$64,$W$75*$W$71/2,(-$W$72/2+$W$72*12/20)),NA())/$W$126</f>
        <v>0.625</v>
      </c>
      <c r="CK49" s="101">
        <f>IF(OR($W$88="A",AND($W$88="C",ISNUMBER($W$127))),IF($W$64,(-$W$72/2+$W$72*12/20),$W$75*$W$71/2),NA())/$W$126</f>
        <v>0.0625</v>
      </c>
    </row>
    <row r="50">
      <c r="A50" s="102">
        <f>IF(NOT($W$128),"Check layout: base plate on the pedestal, bolt edge distance ≥ 1.5 Ø in the plate.","")</f>
        <v/>
      </c>
      <c r="BT50" s="101">
        <f>IF($W$62,$W$69*COS((2*PI()*13/36)),IF($W$63,(-$W$69),-1*$W$69))/$W$126</f>
        <v>-0.416666666666667</v>
      </c>
      <c r="BU50" s="101">
        <f>IF($W$62,$W$69*SIN((2*PI()*13/36)),IF($W$63,(-$W$70),-1*$W$70))/$W$126</f>
        <v>-0.208333333333333</v>
      </c>
      <c r="BV50" s="101">
        <f>IF($W$62,($W$69-$W$67)*COS((2*PI()*13/36)),IF($W$63,-$W$69,-1*($W$69-$W$67)))/$W$126</f>
        <v>-0.416666666666667</v>
      </c>
      <c r="BW50" s="101">
        <f>IF($W$62,($W$69-$W$67)*SIN((2*PI()*13/36)),IF($W$63,-$W$70,-1*($W$70-$W$68)))/$W$126</f>
        <v>-0.208333333333333</v>
      </c>
      <c r="CJ50" s="101">
        <f>IF(OR($W$88="A",AND($W$88="C",ISNUMBER($W$127))),IF($W$64,IF($W$88="A",-$W$75*$W$71/2,$W$127),(-$W$72/2+$W$72*13/20)),NA())/$W$126</f>
        <v>0.0772313669477929</v>
      </c>
      <c r="CK50" s="101">
        <f>IF(OR($W$88="A",AND($W$88="C",ISNUMBER($W$127))),IF($W$64,(-$W$72/2+$W$72*13/20),IF($W$88="A",-$W$75*$W$71/2,$W$127)),NA())/$W$126</f>
        <v>0.09375</v>
      </c>
    </row>
    <row r="51">
      <c r="A51" s="25" t="inlineStr">
        <is>
          <t>Data Output:</t>
        </is>
      </c>
      <c r="BT51" s="101">
        <f>IF($W$62,$W$69*COS((2*PI()*14/36)),IF($W$63,(-$W$69),-1*$W$69))/$W$126</f>
        <v>-0.416666666666667</v>
      </c>
      <c r="BU51" s="101">
        <f>IF($W$62,$W$69*SIN((2*PI()*14/36)),IF($W$63,(-$W$70),-1*$W$70))/$W$126</f>
        <v>-0.208333333333333</v>
      </c>
      <c r="BV51" s="101">
        <f>IF($W$62,($W$69-$W$67)*COS((2*PI()*14/36)),IF($W$63,-$W$69,-1*($W$69-$W$67)))/$W$126</f>
        <v>-0.416666666666667</v>
      </c>
      <c r="BW51" s="101">
        <f>IF($W$62,($W$69-$W$67)*SIN((2*PI()*14/36)),IF($W$63,-$W$70,-1*($W$70-$W$68)))/$W$126</f>
        <v>-0.208333333333333</v>
      </c>
      <c r="CJ51" s="101">
        <f>IF(OR($W$88="A",AND($W$88="C",ISNUMBER($W$127))),IF($W$64,$W$75*$W$71/2,(-$W$72/2+$W$72*14/20)),NA())/$W$126</f>
        <v>0.625</v>
      </c>
      <c r="CK51" s="101">
        <f>IF(OR($W$88="A",AND($W$88="C",ISNUMBER($W$127))),IF($W$64,(-$W$72/2+$W$72*14/20),$W$75*$W$71/2),NA())/$W$126</f>
        <v>0.125</v>
      </c>
    </row>
    <row r="52" ht="7.5" customHeight="1" s="16">
      <c r="BT52" s="101">
        <f>IF($W$62,$W$69*COS((2*PI()*15/36)),IF($W$63,(-$W$69),-1*$W$69))/$W$126</f>
        <v>-0.416666666666667</v>
      </c>
      <c r="BU52" s="101">
        <f>IF($W$62,$W$69*SIN((2*PI()*15/36)),IF($W$63,(-$W$70),-1*$W$70))/$W$126</f>
        <v>-0.208333333333333</v>
      </c>
      <c r="BV52" s="101">
        <f>IF($W$62,($W$69-$W$67)*COS((2*PI()*15/36)),IF($W$63,-$W$69,-1*($W$69-$W$67)))/$W$126</f>
        <v>-0.416666666666667</v>
      </c>
      <c r="BW52" s="101">
        <f>IF($W$62,($W$69-$W$67)*SIN((2*PI()*15/36)),IF($W$63,-$W$70,-1*($W$70-$W$68)))/$W$126</f>
        <v>-0.208333333333333</v>
      </c>
      <c r="CJ52" s="101">
        <f>IF(OR($W$88="A",AND($W$88="C",ISNUMBER($W$127))),IF($W$64,IF($W$88="A",-$W$75*$W$71/2,$W$127),(-$W$72/2+$W$72*15/20)),NA())/$W$126</f>
        <v>0.0772313669477929</v>
      </c>
      <c r="CK52" s="101">
        <f>IF(OR($W$88="A",AND($W$88="C",ISNUMBER($W$127))),IF($W$64,(-$W$72/2+$W$72*15/20),IF($W$88="A",-$W$75*$W$71/2,$W$127)),NA())/$W$126</f>
        <v>0.15625</v>
      </c>
    </row>
    <row r="53">
      <c r="A53" s="98" t="inlineStr">
        <is>
          <t>Plate &amp; Bolt Properties:</t>
        </is>
      </c>
      <c r="BT53" s="101">
        <f>IF($W$62,$W$69*COS((2*PI()*16/36)),IF($W$63,(-$W$69),-1*$W$69))/$W$126</f>
        <v>-0.416666666666667</v>
      </c>
      <c r="BU53" s="101">
        <f>IF($W$62,$W$69*SIN((2*PI()*16/36)),IF($W$63,(-$W$70),-1*$W$70))/$W$126</f>
        <v>-0.208333333333333</v>
      </c>
      <c r="BV53" s="101">
        <f>IF($W$62,($W$69-$W$67)*COS((2*PI()*16/36)),IF($W$63,-$W$69,-1*($W$69-$W$67)))/$W$126</f>
        <v>-0.416666666666667</v>
      </c>
      <c r="BW53" s="101">
        <f>IF($W$62,($W$69-$W$67)*SIN((2*PI()*16/36)),IF($W$63,-$W$70,-1*($W$70-$W$68)))/$W$126</f>
        <v>-0.208333333333333</v>
      </c>
      <c r="CJ53" s="101">
        <f>IF(OR($W$88="A",AND($W$88="C",ISNUMBER($W$127))),IF($W$64,$W$75*$W$71/2,(-$W$72/2+$W$72*16/20)),NA())/$W$126</f>
        <v>0.625</v>
      </c>
      <c r="CK53" s="101">
        <f>IF(OR($W$88="A",AND($W$88="C",ISNUMBER($W$127))),IF($W$64,(-$W$72/2+$W$72*16/20),$W$75*$W$71/2),NA())/$W$126</f>
        <v>0.1875</v>
      </c>
    </row>
    <row r="54">
      <c r="A54" s="61" t="inlineStr">
        <is>
          <t>Fy =</t>
        </is>
      </c>
      <c r="B54" s="103">
        <f>$W$96</f>
        <v>2.4</v>
      </c>
      <c r="C54" s="29" t="inlineStr">
        <is>
          <t>t/cm2</t>
        </is>
      </c>
      <c r="D54" s="61" t="inlineStr">
        <is>
          <t>Fu =</t>
        </is>
      </c>
      <c r="E54" s="103">
        <f>$W$97</f>
        <v>3.6</v>
      </c>
      <c r="F54" s="29" t="inlineStr">
        <is>
          <t>t/cm2</t>
        </is>
      </c>
      <c r="BT54" s="101">
        <f>IF($W$62,$W$69*COS((2*PI()*17/36)),IF($W$63,(-$W$69),-1*$W$69))/$W$126</f>
        <v>-0.416666666666667</v>
      </c>
      <c r="BU54" s="101">
        <f>IF($W$62,$W$69*SIN((2*PI()*17/36)),IF($W$63,(-$W$70),-1*$W$70))/$W$126</f>
        <v>-0.208333333333333</v>
      </c>
      <c r="BV54" s="101">
        <f>IF($W$62,($W$69-$W$67)*COS((2*PI()*17/36)),IF($W$63,-$W$69,-1*($W$69-$W$67)))/$W$126</f>
        <v>-0.416666666666667</v>
      </c>
      <c r="BW54" s="101">
        <f>IF($W$62,($W$69-$W$67)*SIN((2*PI()*17/36)),IF($W$63,-$W$70,-1*($W$70-$W$68)))/$W$126</f>
        <v>-0.208333333333333</v>
      </c>
      <c r="CJ54" s="101">
        <f>IF(OR($W$88="A",AND($W$88="C",ISNUMBER($W$127))),IF($W$64,IF($W$88="A",-$W$75*$W$71/2,$W$127),(-$W$72/2+$W$72*17/20)),NA())/$W$126</f>
        <v>0.0772313669477929</v>
      </c>
      <c r="CK54" s="101">
        <f>IF(OR($W$88="A",AND($W$88="C",ISNUMBER($W$127))),IF($W$64,(-$W$72/2+$W$72*17/20),IF($W$88="A",-$W$75*$W$71/2,$W$127)),NA())/$W$126</f>
        <v>0.21875</v>
      </c>
    </row>
    <row r="55">
      <c r="A55" s="61" t="inlineStr">
        <is>
          <t>Bolt As =</t>
        </is>
      </c>
      <c r="B55" s="104">
        <f>$W$78</f>
        <v>5.51349510705009</v>
      </c>
      <c r="C55" s="29" t="inlineStr">
        <is>
          <t>cm2</t>
        </is>
      </c>
      <c r="D55" s="61" t="inlineStr">
        <is>
          <t>n = Es/Ec =</t>
        </is>
      </c>
      <c r="E55" s="103">
        <f>$W$80</f>
        <v>9.45726823796351</v>
      </c>
      <c r="G55" s="97" t="inlineStr">
        <is>
          <t>As = 0.78·π·Ø²/4 ;  Ec = 4400√fcu</t>
        </is>
      </c>
      <c r="BT55" s="101">
        <f>IF($W$62,$W$69*COS((2*PI()*18/36)),IF($W$63,(-$W$69),-1*$W$69))/$W$126</f>
        <v>-0.416666666666667</v>
      </c>
      <c r="BU55" s="101">
        <f>IF($W$62,$W$69*SIN((2*PI()*18/36)),IF($W$63,(-$W$70),-1*$W$70))/$W$126</f>
        <v>-0.208333333333333</v>
      </c>
      <c r="BV55" s="101">
        <f>IF($W$62,($W$69-$W$67)*COS((2*PI()*18/36)),IF($W$63,-$W$69,-1*($W$69-$W$67)))/$W$126</f>
        <v>-0.416666666666667</v>
      </c>
      <c r="BW55" s="101">
        <f>IF($W$62,($W$69-$W$67)*SIN((2*PI()*18/36)),IF($W$63,-$W$70,-1*($W$70-$W$68)))/$W$126</f>
        <v>-0.208333333333333</v>
      </c>
      <c r="CJ55" s="101">
        <f>IF(OR($W$88="A",AND($W$88="C",ISNUMBER($W$127))),IF($W$64,$W$75*$W$71/2,(-$W$72/2+$W$72*18/20)),NA())/$W$126</f>
        <v>0.625</v>
      </c>
      <c r="CK55" s="101">
        <f>IF(OR($W$88="A",AND($W$88="C",ISNUMBER($W$127))),IF($W$64,(-$W$72/2+$W$72*18/20),$W$75*$W$71/2),NA())/$W$126</f>
        <v>0.25</v>
      </c>
    </row>
    <row r="56">
      <c r="A56" s="61" t="inlineStr">
        <is>
          <t>L (along M) =</t>
        </is>
      </c>
      <c r="B56" s="103">
        <f>$W$71</f>
        <v>60.0</v>
      </c>
      <c r="C56" s="29" t="inlineStr">
        <is>
          <t>cm</t>
        </is>
      </c>
      <c r="D56" s="61" t="inlineStr">
        <is>
          <t>B =</t>
        </is>
      </c>
      <c r="E56" s="103">
        <f>$W$72</f>
        <v>30.0</v>
      </c>
      <c r="F56" s="29" t="inlineStr">
        <is>
          <t>cm</t>
        </is>
      </c>
      <c r="BT56" s="101">
        <f>IF($W$62,$W$69*COS((2*PI()*19/36)),IF($W$63,(-$W$69),-1*$W$69))/$W$126</f>
        <v>-0.416666666666667</v>
      </c>
      <c r="BU56" s="101">
        <f>IF($W$62,$W$69*SIN((2*PI()*19/36)),IF($W$63,(-$W$70),-1*$W$70))/$W$126</f>
        <v>-0.208333333333333</v>
      </c>
      <c r="BV56" s="101">
        <f>IF($W$62,($W$69-$W$67)*COS((2*PI()*19/36)),IF($W$63,-$W$69,-1*($W$69-$W$67)))/$W$126</f>
        <v>-0.416666666666667</v>
      </c>
      <c r="BW56" s="101">
        <f>IF($W$62,($W$69-$W$67)*SIN((2*PI()*19/36)),IF($W$63,-$W$70,-1*($W$70-$W$68)))/$W$126</f>
        <v>-0.208333333333333</v>
      </c>
      <c r="CJ56" s="101">
        <f>IF(OR($W$88="A",AND($W$88="C",ISNUMBER($W$127))),IF($W$64,IF($W$88="A",-$W$75*$W$71/2,$W$127),(-$W$72/2+$W$72*19/20)),NA())/$W$126</f>
        <v>0.0772313669477929</v>
      </c>
      <c r="CK56" s="101">
        <f>IF(OR($W$88="A",AND($W$88="C",ISNUMBER($W$127))),IF($W$64,(-$W$72/2+$W$72*19/20),IF($W$88="A",-$W$75*$W$71/2,$W$127)),NA())/$W$126</f>
        <v>0.28125</v>
      </c>
    </row>
    <row r="57">
      <c r="A57" s="61" t="inlineStr">
        <is>
          <t>A = L × B =</t>
        </is>
      </c>
      <c r="B57" s="105">
        <f>$W$71*$W$72</f>
        <v>1800.0</v>
      </c>
      <c r="C57" s="29" t="inlineStr">
        <is>
          <t>cm2</t>
        </is>
      </c>
      <c r="D57" s="61" t="inlineStr">
        <is>
          <t>Z = B·L²/6 =</t>
        </is>
      </c>
      <c r="E57" s="105">
        <f>$W$72*$W$71^2/6</f>
        <v>18000.0</v>
      </c>
      <c r="F57" s="29" t="inlineStr">
        <is>
          <t>cm3</t>
        </is>
      </c>
      <c r="BT57" s="101">
        <f>IF($W$62,$W$69*COS((2*PI()*20/36)),IF($W$63,(-$W$69),-1*$W$69))/$W$126</f>
        <v>-0.416666666666667</v>
      </c>
      <c r="BU57" s="101">
        <f>IF($W$62,$W$69*SIN((2*PI()*20/36)),IF($W$63,(-$W$70),-1*$W$70))/$W$126</f>
        <v>-0.208333333333333</v>
      </c>
      <c r="BV57" s="101">
        <f>IF($W$62,($W$69-$W$67)*COS((2*PI()*20/36)),IF($W$63,-$W$69,-1*($W$69-$W$67)))/$W$126</f>
        <v>-0.416666666666667</v>
      </c>
      <c r="BW57" s="101">
        <f>IF($W$62,($W$69-$W$67)*SIN((2*PI()*20/36)),IF($W$63,-$W$70,-1*($W$70-$W$68)))/$W$126</f>
        <v>-0.208333333333333</v>
      </c>
      <c r="CJ57" s="101">
        <f>IF(OR($W$88="A",AND($W$88="C",ISNUMBER($W$127))),IF($W$64,$W$75*$W$71/2,(-$W$72/2+$W$72*20/20)),NA())/$W$126</f>
        <v>0.625</v>
      </c>
      <c r="CK57" s="101">
        <f>IF(OR($W$88="A",AND($W$88="C",ISNUMBER($W$127))),IF($W$64,(-$W$72/2+$W$72*20/20),$W$75*$W$71/2),NA())/$W$126</f>
        <v>0.3125</v>
      </c>
    </row>
    <row r="58" ht="7.5" customHeight="1" s="16">
      <c r="BT58" s="101">
        <f>IF($W$62,$W$69*COS((2*PI()*21/36)),IF($W$63,(-$W$69),-1*$W$69))/$W$126</f>
        <v>-0.416666666666667</v>
      </c>
      <c r="BU58" s="101">
        <f>IF($W$62,$W$69*SIN((2*PI()*21/36)),IF($W$63,(-$W$70),-1*$W$70))/$W$126</f>
        <v>-0.208333333333333</v>
      </c>
      <c r="BV58" s="101">
        <f>IF($W$62,($W$69-$W$67)*COS((2*PI()*21/36)),IF($W$63,-$W$69,-1*($W$69-$W$67)))/$W$126</f>
        <v>-0.416666666666667</v>
      </c>
      <c r="BW58" s="101">
        <f>IF($W$62,($W$69-$W$67)*SIN((2*PI()*21/36)),IF($W$63,-$W$70,-1*($W$70-$W$68)))/$W$126</f>
        <v>-0.208333333333333</v>
      </c>
    </row>
    <row r="59">
      <c r="A59" s="98" t="inlineStr">
        <is>
          <t>Load Case:</t>
        </is>
      </c>
      <c r="D59" s="106" t="inlineStr">
        <is>
          <t>e = M / N</t>
        </is>
      </c>
      <c r="E59" s="107" t="n"/>
      <c r="F59" s="108" t="n"/>
      <c r="V59" t="inlineStr">
        <is>
          <t>HELPERS (hidden)</t>
        </is>
      </c>
      <c r="BT59" s="101">
        <f>IF($W$62,$W$69*COS((2*PI()*22/36)),IF($W$63,(-$W$69),-1*$W$69))/$W$126</f>
        <v>-0.416666666666667</v>
      </c>
      <c r="BU59" s="101">
        <f>IF($W$62,$W$69*SIN((2*PI()*22/36)),IF($W$63,(-$W$70),-1*$W$70))/$W$126</f>
        <v>-0.208333333333333</v>
      </c>
      <c r="BV59" s="101">
        <f>IF($W$62,($W$69-$W$67)*COS((2*PI()*22/36)),IF($W$63,-$W$69,-1*($W$69-$W$67)))/$W$126</f>
        <v>-0.416666666666667</v>
      </c>
      <c r="BW59" s="101">
        <f>IF($W$62,($W$69-$W$67)*SIN((2*PI()*22/36)),IF($W$63,-$W$70,-1*($W$70-$W$68)))/$W$126</f>
        <v>-0.208333333333333</v>
      </c>
    </row>
    <row r="60">
      <c r="A60" s="61" t="inlineStr">
        <is>
          <t>e =</t>
        </is>
      </c>
      <c r="B60" s="103">
        <f>IF($W$61,"-",IF($W$73=0,"∞",$W$76/ABS($W$73)))</f>
        <v>40.0</v>
      </c>
      <c r="C60" s="29" t="inlineStr">
        <is>
          <t>cm</t>
        </is>
      </c>
      <c r="D60" s="61" t="inlineStr">
        <is>
          <t>L/6 =</t>
        </is>
      </c>
      <c r="E60" s="103">
        <f>$W$71/6</f>
        <v>10.0</v>
      </c>
      <c r="F60" s="29" t="inlineStr">
        <is>
          <t>cm</t>
        </is>
      </c>
      <c r="V60" t="inlineStr">
        <is>
          <t>ASD?</t>
        </is>
      </c>
      <c r="W60" s="109">
        <f>$C$8="ASD"</f>
        <v>1.0</v>
      </c>
      <c r="BT60" s="101">
        <f>IF($W$62,$W$69*COS((2*PI()*23/36)),IF($W$63,(-$W$69),-1*$W$69))/$W$126</f>
        <v>-0.416666666666667</v>
      </c>
      <c r="BU60" s="101">
        <f>IF($W$62,$W$69*SIN((2*PI()*23/36)),IF($W$63,(-$W$70),-1*$W$70))/$W$126</f>
        <v>-0.208333333333333</v>
      </c>
      <c r="BV60" s="101">
        <f>IF($W$62,($W$69-$W$67)*COS((2*PI()*23/36)),IF($W$63,-$W$69,-1*($W$69-$W$67)))/$W$126</f>
        <v>-0.416666666666667</v>
      </c>
      <c r="BW60" s="101">
        <f>IF($W$62,($W$69-$W$67)*SIN((2*PI()*23/36)),IF($W$63,-$W$70,-1*($W$70-$W$68)))/$W$126</f>
        <v>-0.208333333333333</v>
      </c>
    </row>
    <row r="61">
      <c r="A61" s="102" t="str">
        <f>IF($W$88="IDEA","Forces of every bolt entered from IDEA StatiCa (prying included) - plate, weld and bearing are checked in IDEA.",IF($W$88="None","No loads.",IF($W$88="A","Compression with e ≤ L/6 → full bearing under the plate - no tension in the bolts.",IF($W$88="B","Tension → the plate lifts - all bolts in tension, no bearing.",IF($W$73&gt;0,"Compression with e &gt; L/6 → partial bearing + tension in the bolts.",IF($W$73&lt;0,"Tension + moment → partial bearing + tension in the bolts.","Pure moment → partial bearing + tension in the bolts."))))))</f>
        <v>Compression with e &gt; L/6 → partial bearing + tension in the bolts.</v>
      </c>
      <c r="V61" t="inlineStr">
        <is>
          <t>IDEA?</t>
        </is>
      </c>
      <c r="W61" s="109">
        <f>$C$9="IDEA"</f>
        <v>0.0</v>
      </c>
      <c r="BT61" s="101">
        <f>IF($W$62,$W$69*COS((2*PI()*24/36)),IF($W$63,(-$W$69),-1*$W$69))/$W$126</f>
        <v>-0.416666666666667</v>
      </c>
      <c r="BU61" s="101">
        <f>IF($W$62,$W$69*SIN((2*PI()*24/36)),IF($W$63,(-$W$70),-1*$W$70))/$W$126</f>
        <v>-0.208333333333333</v>
      </c>
      <c r="BV61" s="101">
        <f>IF($W$62,($W$69-$W$67)*COS((2*PI()*24/36)),IF($W$63,-$W$69,-1*($W$69-$W$67)))/$W$126</f>
        <v>-0.416666666666667</v>
      </c>
      <c r="BW61" s="101">
        <f>IF($W$62,($W$69-$W$67)*SIN((2*PI()*24/36)),IF($W$63,-$W$70,-1*($W$70-$W$68)))/$W$126</f>
        <v>-0.208333333333333</v>
      </c>
    </row>
    <row r="62" ht="7.5" customHeight="1" s="16">
      <c r="V62" t="inlineStr">
        <is>
          <t>pipe?</t>
        </is>
      </c>
      <c r="W62" s="109">
        <f>$C$10="Pipe"</f>
        <v>0.0</v>
      </c>
      <c r="BT62" s="101">
        <f>IF($W$62,$W$69*COS((2*PI()*25/36)),IF($W$63,(-$W$69),-1*$W$69))/$W$126</f>
        <v>-0.416666666666667</v>
      </c>
      <c r="BU62" s="101">
        <f>IF($W$62,$W$69*SIN((2*PI()*25/36)),IF($W$63,(-$W$70),-1*$W$70))/$W$126</f>
        <v>-0.208333333333333</v>
      </c>
      <c r="BV62" s="101">
        <f>IF($W$62,($W$69-$W$67)*COS((2*PI()*25/36)),IF($W$63,-$W$69,-1*($W$69-$W$67)))/$W$126</f>
        <v>-0.416666666666667</v>
      </c>
      <c r="BW62" s="101">
        <f>IF($W$62,($W$69-$W$67)*SIN((2*PI()*25/36)),IF($W$63,-$W$70,-1*($W$70-$W$68)))/$W$126</f>
        <v>-0.208333333333333</v>
      </c>
    </row>
    <row r="63">
      <c r="A63" s="98" t="inlineStr">
        <is>
          <t>Bearing &amp; Neutral Axis:</t>
        </is>
      </c>
      <c r="D63" s="110" t="str">
        <f>IF($W$88="A","q = N / A ± M / Z",IF($W$88="B","T i = T / n + M'·(d i − d̄) / Σ(d i − d̄)²  ,  M' = M + T·(L/2 − d̄)",IF($W$88="C","N = k·[ B·c²/2 − n·As·Σ(d i − c) ]","-")))</f>
        <v>N = k·[ B·c²/2 − n·As·Σ(d i − c) ]</v>
      </c>
      <c r="E63" s="107" t="n"/>
      <c r="F63" s="107" t="n"/>
      <c r="G63" s="107" t="n"/>
      <c r="H63" s="107" t="n"/>
      <c r="I63" s="108" t="n"/>
      <c r="V63" t="inlineStr">
        <is>
          <t>I-section?</t>
        </is>
      </c>
      <c r="W63" s="109">
        <f>$C$10="I-Section"</f>
        <v>1.0</v>
      </c>
      <c r="BT63" s="101">
        <f>IF($W$62,$W$69*COS((2*PI()*26/36)),IF($W$63,(-$W$69),-1*$W$69))/$W$126</f>
        <v>-0.416666666666667</v>
      </c>
      <c r="BU63" s="101">
        <f>IF($W$62,$W$69*SIN((2*PI()*26/36)),IF($W$63,(-$W$70),-1*$W$70))/$W$126</f>
        <v>-0.208333333333333</v>
      </c>
      <c r="BV63" s="101">
        <f>IF($W$62,($W$69-$W$67)*COS((2*PI()*26/36)),IF($W$63,-$W$69,-1*($W$69-$W$67)))/$W$126</f>
        <v>-0.416666666666667</v>
      </c>
      <c r="BW63" s="101">
        <f>IF($W$62,($W$69-$W$67)*SIN((2*PI()*26/36)),IF($W$63,-$W$70,-1*($W$70-$W$68)))/$W$126</f>
        <v>-0.208333333333333</v>
      </c>
    </row>
    <row r="64">
      <c r="A64" s="111" t="str">
        <f>IF($W$88="C","d i = bolt to compressed edge","")</f>
        <v>d i = bolt to compressed edge</v>
      </c>
      <c r="D64" s="110" t="str">
        <f>IF($W$88="C","M = k·[ B·c²/2·(L/2 − c/3) + n·As·Σ(d i − c)·(d i − L/2) ]",IF($W$88="A","q at the two plate edges",IF($W$88="B","no bearing - the plate lifts","-")))</f>
        <v>M = k·[ B·c²/2·(L/2 − c/3) + n·As·Σ(d i − c)·(d i − L/2) ]</v>
      </c>
      <c r="E64" s="107" t="n"/>
      <c r="F64" s="107" t="n"/>
      <c r="G64" s="107" t="n"/>
      <c r="H64" s="107" t="n"/>
      <c r="I64" s="108" t="n"/>
      <c r="V64" t="inlineStr">
        <is>
          <t>major?</t>
        </is>
      </c>
      <c r="W64" s="109">
        <f>$C$11="Major"</f>
        <v>1.0</v>
      </c>
      <c r="BT64" s="101">
        <f>IF($W$62,$W$69*COS((2*PI()*27/36)),IF($W$63,(-$W$69),-1*$W$69))/$W$126</f>
        <v>-0.416666666666667</v>
      </c>
      <c r="BU64" s="101">
        <f>IF($W$62,$W$69*SIN((2*PI()*27/36)),IF($W$63,(-$W$70),-1*$W$70))/$W$126</f>
        <v>-0.208333333333333</v>
      </c>
      <c r="BV64" s="101">
        <f>IF($W$62,($W$69-$W$67)*COS((2*PI()*27/36)),IF($W$63,-$W$69,-1*($W$69-$W$67)))/$W$126</f>
        <v>-0.416666666666667</v>
      </c>
      <c r="BW64" s="101">
        <f>IF($W$62,($W$69-$W$67)*SIN((2*PI()*27/36)),IF($W$63,-$W$70,-1*($W$70-$W$68)))/$W$126</f>
        <v>-0.208333333333333</v>
      </c>
    </row>
    <row r="65">
      <c r="A65" s="61" t="inlineStr">
        <is>
          <t>c =</t>
        </is>
      </c>
      <c r="B65" s="103">
        <f>IF($W$88="C",$W$90,"-")</f>
        <v>26.2928943865059</v>
      </c>
      <c r="C65" s="29" t="inlineStr">
        <is>
          <t>cm</t>
        </is>
      </c>
      <c r="D65" s="61" t="inlineStr">
        <is>
          <t>k =</t>
        </is>
      </c>
      <c r="E65" s="112">
        <f>IF($W$88="C",$W$93*1000,"-")</f>
        <v>2.71149010930772</v>
      </c>
      <c r="F65" s="29" t="inlineStr">
        <is>
          <t>kg/cm3</t>
        </is>
      </c>
      <c r="V65" t="inlineStr">
        <is>
          <t>h (cm)</t>
        </is>
      </c>
      <c r="W65" s="109">
        <f>$C$12/10</f>
        <v>40.0</v>
      </c>
      <c r="BT65" s="101">
        <f>IF($W$62,$W$69*COS((2*PI()*28/36)),IF($W$63,(-$W$69),-1*$W$69))/$W$126</f>
        <v>-0.416666666666667</v>
      </c>
      <c r="BU65" s="101">
        <f>IF($W$62,$W$69*SIN((2*PI()*28/36)),IF($W$63,(-$W$70),-1*$W$70))/$W$126</f>
        <v>-0.208333333333333</v>
      </c>
      <c r="BV65" s="101">
        <f>IF($W$62,($W$69-$W$67)*COS((2*PI()*28/36)),IF($W$63,-$W$69,-1*($W$69-$W$67)))/$W$126</f>
        <v>-0.416666666666667</v>
      </c>
      <c r="BW65" s="101">
        <f>IF($W$62,($W$69-$W$67)*SIN((2*PI()*28/36)),IF($W$63,-$W$70,-1*($W$70-$W$68)))/$W$126</f>
        <v>-0.208333333333333</v>
      </c>
    </row>
    <row r="66">
      <c r="A66" s="61" t="inlineStr">
        <is>
          <t>q max =</t>
        </is>
      </c>
      <c r="B66" s="103">
        <f>IF($W$61,"-",$W$94*1000)</f>
        <v>71.2929230740833</v>
      </c>
      <c r="C66" s="29" t="inlineStr">
        <is>
          <t>kg/cm2</t>
        </is>
      </c>
      <c r="D66" s="61" t="inlineStr">
        <is>
          <t>q min =</t>
        </is>
      </c>
      <c r="E66" s="103">
        <f>IF($W$61,"-",$W$95*1000)</f>
        <v>0.0</v>
      </c>
      <c r="F66" s="29" t="inlineStr">
        <is>
          <t>kg/cm2</t>
        </is>
      </c>
      <c r="V66" t="inlineStr">
        <is>
          <t>b (cm)</t>
        </is>
      </c>
      <c r="W66" s="109">
        <f>IF($W$62,$W$65,$C$13/10)</f>
        <v>20.0</v>
      </c>
      <c r="BT66" s="101">
        <f>IF($W$62,$W$69*COS((2*PI()*29/36)),IF($W$63,(-$W$69),-1*$W$69))/$W$126</f>
        <v>-0.416666666666667</v>
      </c>
      <c r="BU66" s="101">
        <f>IF($W$62,$W$69*SIN((2*PI()*29/36)),IF($W$63,(-$W$70),-1*$W$70))/$W$126</f>
        <v>-0.208333333333333</v>
      </c>
      <c r="BV66" s="101">
        <f>IF($W$62,($W$69-$W$67)*COS((2*PI()*29/36)),IF($W$63,-$W$69,-1*($W$69-$W$67)))/$W$126</f>
        <v>-0.416666666666667</v>
      </c>
      <c r="BW66" s="101">
        <f>IF($W$62,($W$69-$W$67)*SIN((2*PI()*29/36)),IF($W$63,-$W$70,-1*($W$70-$W$68)))/$W$126</f>
        <v>-0.208333333333333</v>
      </c>
    </row>
    <row r="67" ht="7.5" customHeight="1" s="16">
      <c r="V67" t="inlineStr">
        <is>
          <t>tf (cm)</t>
        </is>
      </c>
      <c r="W67" s="109">
        <f>$C$14/10</f>
        <v>1.4</v>
      </c>
      <c r="BT67" s="101">
        <f>IF($W$62,$W$69*COS((2*PI()*30/36)),IF($W$63,(-$W$69),-1*$W$69))/$W$126</f>
        <v>-0.416666666666667</v>
      </c>
      <c r="BU67" s="101">
        <f>IF($W$62,$W$69*SIN((2*PI()*30/36)),IF($W$63,(-$W$70),-1*$W$70))/$W$126</f>
        <v>-0.208333333333333</v>
      </c>
      <c r="BV67" s="101">
        <f>IF($W$62,($W$69-$W$67)*COS((2*PI()*30/36)),IF($W$63,-$W$69,-1*($W$69-$W$67)))/$W$126</f>
        <v>-0.416666666666667</v>
      </c>
      <c r="BW67" s="101">
        <f>IF($W$62,($W$69-$W$67)*SIN((2*PI()*30/36)),IF($W$63,-$W$70,-1*($W$70-$W$68)))/$W$126</f>
        <v>-0.208333333333333</v>
      </c>
    </row>
    <row r="68">
      <c r="A68" s="98" t="inlineStr">
        <is>
          <t>Anchor Bolt Forces:</t>
        </is>
      </c>
      <c r="D68" s="110" t="str">
        <f>IF($W$88="C","T i = k · n · As · (d i − c)",IF($W$88="B","T i = T / n + M'·(d i − d̄) / Σ(d i − d̄)²",IF($W$88="A","T i = 0  (no uplift)",IF($W$88="IDEA","T i , V i  from IDEA","-"))))</f>
        <v>T i = k · n · As · (d i − c)</v>
      </c>
      <c r="E68" s="107" t="n"/>
      <c r="F68" s="107" t="n"/>
      <c r="G68" s="107" t="n"/>
      <c r="H68" s="107" t="n"/>
      <c r="I68" s="108" t="n"/>
      <c r="V68" t="inlineStr">
        <is>
          <t>tw (cm)</t>
        </is>
      </c>
      <c r="W68" s="109">
        <f>IF($W$62,$C$14/10,$C$15/10)</f>
        <v>0.8</v>
      </c>
      <c r="BT68" s="101">
        <f>IF($W$62,$W$69*COS((2*PI()*31/36)),IF($W$63,(-$W$69),-1*$W$69))/$W$126</f>
        <v>-0.416666666666667</v>
      </c>
      <c r="BU68" s="101">
        <f>IF($W$62,$W$69*SIN((2*PI()*31/36)),IF($W$63,(-$W$70),-1*$W$70))/$W$126</f>
        <v>-0.208333333333333</v>
      </c>
      <c r="BV68" s="101">
        <f>IF($W$62,($W$69-$W$67)*COS((2*PI()*31/36)),IF($W$63,-$W$69,-1*($W$69-$W$67)))/$W$126</f>
        <v>-0.416666666666667</v>
      </c>
      <c r="BW68" s="101">
        <f>IF($W$62,($W$69-$W$67)*SIN((2*PI()*31/36)),IF($W$63,-$W$70,-1*($W$70-$W$68)))/$W$126</f>
        <v>-0.208333333333333</v>
      </c>
    </row>
    <row r="69">
      <c r="D69" s="110" t="str">
        <f>IF($W$61,"V i = √(Vx i² + Vy i²)","V i = √(Vx² + Vy²) / n   (equal share)")</f>
        <v>V i = √(Vx² + Vy²) / n   (equal share)</v>
      </c>
      <c r="E69" s="107" t="n"/>
      <c r="F69" s="107" t="n"/>
      <c r="G69" s="107" t="n"/>
      <c r="H69" s="107" t="n"/>
      <c r="I69" s="108" t="n"/>
      <c r="V69" t="inlineStr">
        <is>
          <t>hx</t>
        </is>
      </c>
      <c r="W69" s="109">
        <f>$W$65/2</f>
        <v>20.0</v>
      </c>
      <c r="BT69" s="101">
        <f>IF($W$62,$W$69*COS((2*PI()*32/36)),IF($W$63,(-$W$69),-1*$W$69))/$W$126</f>
        <v>-0.416666666666667</v>
      </c>
      <c r="BU69" s="101">
        <f>IF($W$62,$W$69*SIN((2*PI()*32/36)),IF($W$63,(-$W$70),-1*$W$70))/$W$126</f>
        <v>-0.208333333333333</v>
      </c>
      <c r="BV69" s="101">
        <f>IF($W$62,($W$69-$W$67)*COS((2*PI()*32/36)),IF($W$63,-$W$69,-1*($W$69-$W$67)))/$W$126</f>
        <v>-0.416666666666667</v>
      </c>
      <c r="BW69" s="101">
        <f>IF($W$62,($W$69-$W$67)*SIN((2*PI()*32/36)),IF($W$63,-$W$70,-1*($W$70-$W$68)))/$W$126</f>
        <v>-0.208333333333333</v>
      </c>
    </row>
    <row r="70">
      <c r="A70" s="53" t="inlineStr">
        <is>
          <t>Bolt No.</t>
        </is>
      </c>
      <c r="B70" s="53" t="inlineStr">
        <is>
          <t>T (ton)</t>
        </is>
      </c>
      <c r="C70" s="53" t="inlineStr">
        <is>
          <t>b (cm)</t>
        </is>
      </c>
      <c r="D70" s="53" t="inlineStr">
        <is>
          <t>a (cm)</t>
        </is>
      </c>
      <c r="E70" s="53" t="inlineStr">
        <is>
          <t>w (cm)</t>
        </is>
      </c>
      <c r="F70" s="53" t="inlineStr">
        <is>
          <t>Q (ton)</t>
        </is>
      </c>
      <c r="G70" s="53" t="inlineStr">
        <is>
          <t>T+Q (ton)</t>
        </is>
      </c>
      <c r="I70" s="53" t="inlineStr">
        <is>
          <t>V (ton)</t>
        </is>
      </c>
      <c r="V70" t="inlineStr">
        <is>
          <t>hy</t>
        </is>
      </c>
      <c r="W70" s="109">
        <f>$W$66/2</f>
        <v>10.0</v>
      </c>
      <c r="BT70" s="101">
        <f>IF($W$62,$W$69*COS((2*PI()*33/36)),IF($W$63,(-$W$69),-1*$W$69))/$W$126</f>
        <v>-0.416666666666667</v>
      </c>
      <c r="BU70" s="101">
        <f>IF($W$62,$W$69*SIN((2*PI()*33/36)),IF($W$63,(-$W$70),-1*$W$70))/$W$126</f>
        <v>-0.208333333333333</v>
      </c>
      <c r="BV70" s="101">
        <f>IF($W$62,($W$69-$W$67)*COS((2*PI()*33/36)),IF($W$63,-$W$69,-1*($W$69-$W$67)))/$W$126</f>
        <v>-0.416666666666667</v>
      </c>
      <c r="BW70" s="101">
        <f>IF($W$62,($W$69-$W$67)*SIN((2*PI()*33/36)),IF($W$63,-$W$70,-1*($W$70-$W$68)))/$W$126</f>
        <v>-0.208333333333333</v>
      </c>
    </row>
    <row r="71" ht="14.25" customHeight="1" s="16">
      <c r="A71" s="113">
        <f>IF(V37,1,"")</f>
        <v>1.0</v>
      </c>
      <c r="B71" s="104">
        <f>IF(V37,AB37,"")</f>
        <v>4.05872972669124</v>
      </c>
      <c r="C71" s="103">
        <f>IF(V37,IF($W$61,"-",AQ37),"")</f>
        <v>5.0</v>
      </c>
      <c r="D71" s="103">
        <f>IF(V37,IF($W$61,"-",AR37),"")</f>
        <v>5.0</v>
      </c>
      <c r="E71" s="103">
        <f>IF(V37,IF($W$61,"-",AP37),"")</f>
        <v>15.0</v>
      </c>
      <c r="F71" s="104">
        <f>IF(V37,AT37,"")</f>
        <v>0.391038289787621</v>
      </c>
      <c r="G71" s="114">
        <f>IF(V37,AU37,"")</f>
        <v>4.44976801647886</v>
      </c>
      <c r="I71" s="104">
        <f>IF(V37,AE37,"")</f>
        <v>0.790569415042095</v>
      </c>
      <c r="V71" t="inlineStr">
        <is>
          <t>L along M</t>
        </is>
      </c>
      <c r="W71" s="109">
        <f>IF($W$64,$C$17,$C$18)</f>
        <v>60.0</v>
      </c>
      <c r="BT71" s="101">
        <f>IF($W$62,$W$69*COS((2*PI()*34/36)),IF($W$63,(-$W$69),-1*$W$69))/$W$126</f>
        <v>-0.416666666666667</v>
      </c>
      <c r="BU71" s="101">
        <f>IF($W$62,$W$69*SIN((2*PI()*34/36)),IF($W$63,(-$W$70),-1*$W$70))/$W$126</f>
        <v>-0.208333333333333</v>
      </c>
      <c r="BV71" s="101">
        <f>IF($W$62,($W$69-$W$67)*COS((2*PI()*34/36)),IF($W$63,-$W$69,-1*($W$69-$W$67)))/$W$126</f>
        <v>-0.416666666666667</v>
      </c>
      <c r="BW71" s="101">
        <f>IF($W$62,($W$69-$W$67)*SIN((2*PI()*34/36)),IF($W$63,-$W$70,-1*($W$70-$W$68)))/$W$126</f>
        <v>-0.208333333333333</v>
      </c>
    </row>
    <row r="72" ht="14.25" customHeight="1" s="16">
      <c r="A72" s="113">
        <f>IF(V38,2,"")</f>
        <v>2.0</v>
      </c>
      <c r="B72" s="104">
        <f>IF(V38,AB38,"")</f>
        <v>0.0</v>
      </c>
      <c r="C72" s="103">
        <f>IF(V38,IF($W$61,"-",AQ38),"")</f>
        <v>5.0</v>
      </c>
      <c r="D72" s="103">
        <f>IF(V38,IF($W$61,"-",AR38),"")</f>
        <v>5.0</v>
      </c>
      <c r="E72" s="103">
        <f>IF(V38,IF($W$61,"-",AP38),"")</f>
        <v>15.0</v>
      </c>
      <c r="F72" s="104">
        <f>IF(V38,AT38,"")</f>
        <v>0.0</v>
      </c>
      <c r="G72" s="114">
        <f>IF(V38,AU38,"")</f>
        <v>0.0</v>
      </c>
      <c r="I72" s="104">
        <f>IF(V38,AE38,"")</f>
        <v>0.790569415042095</v>
      </c>
      <c r="V72" t="inlineStr">
        <is>
          <t>B</t>
        </is>
      </c>
      <c r="W72" s="109">
        <f>IF($W$64,$C$18,$C$17)</f>
        <v>30.0</v>
      </c>
      <c r="BT72" s="101">
        <f>IF($W$62,$W$69*COS((2*PI()*35/36)),IF($W$63,(-$W$69),-1*$W$69))/$W$126</f>
        <v>-0.416666666666667</v>
      </c>
      <c r="BU72" s="101">
        <f>IF($W$62,$W$69*SIN((2*PI()*35/36)),IF($W$63,(-$W$70),-1*$W$70))/$W$126</f>
        <v>-0.208333333333333</v>
      </c>
      <c r="BV72" s="101">
        <f>IF($W$62,($W$69-$W$67)*COS((2*PI()*35/36)),IF($W$63,-$W$69,-1*($W$69-$W$67)))/$W$126</f>
        <v>-0.416666666666667</v>
      </c>
      <c r="BW72" s="101">
        <f>IF($W$62,($W$69-$W$67)*SIN((2*PI()*35/36)),IF($W$63,-$W$70,-1*($W$70-$W$68)))/$W$126</f>
        <v>-0.208333333333333</v>
      </c>
    </row>
    <row r="73" ht="14.25" customHeight="1" s="16">
      <c r="A73" s="113">
        <f>IF(V39,3,"")</f>
        <v>3.0</v>
      </c>
      <c r="B73" s="104">
        <f>IF(V39,AB39,"")</f>
        <v>0.0</v>
      </c>
      <c r="C73" s="103">
        <f>IF(V39,IF($W$61,"-",AQ39),"")</f>
        <v>5.0</v>
      </c>
      <c r="D73" s="103">
        <f>IF(V39,IF($W$61,"-",AR39),"")</f>
        <v>5.0</v>
      </c>
      <c r="E73" s="103">
        <f>IF(V39,IF($W$61,"-",AP39),"")</f>
        <v>15.0</v>
      </c>
      <c r="F73" s="104">
        <f>IF(V39,AT39,"")</f>
        <v>0.0</v>
      </c>
      <c r="G73" s="114">
        <f>IF(V39,AU39,"")</f>
        <v>0.0</v>
      </c>
      <c r="I73" s="104">
        <f>IF(V39,AE39,"")</f>
        <v>0.790569415042095</v>
      </c>
      <c r="V73" t="inlineStr">
        <is>
          <t>P (comp +)</t>
        </is>
      </c>
      <c r="W73" s="109">
        <f>IF($W$61,0,IF($C$30="Compression",1,-1)*N($C$29))</f>
        <v>20.0</v>
      </c>
      <c r="BT73" s="101">
        <f>IF($W$62,$W$69*COS((2*PI()*36/36)),IF($W$63,(-$W$69),-1*$W$69))/$W$126</f>
        <v>-0.416666666666667</v>
      </c>
      <c r="BU73" s="101">
        <f>IF($W$62,$W$69*SIN((2*PI()*36/36)),IF($W$63,(-$W$70),-1*$W$70))/$W$126</f>
        <v>-0.208333333333333</v>
      </c>
      <c r="BV73" s="101">
        <f>IF($W$62,($W$69-$W$67)*COS((2*PI()*36/36)),IF($W$63,-$W$69,-1*($W$69-$W$67)))/$W$126</f>
        <v>-0.416666666666667</v>
      </c>
      <c r="BW73" s="101">
        <f>IF($W$62,($W$69-$W$67)*SIN((2*PI()*36/36)),IF($W$63,-$W$70,-1*($W$70-$W$68)))/$W$126</f>
        <v>-0.208333333333333</v>
      </c>
    </row>
    <row r="74" ht="14.25" customHeight="1" s="16">
      <c r="A74" s="113">
        <f>IF(V40,4,"")</f>
        <v>4.0</v>
      </c>
      <c r="B74" s="104">
        <f>IF(V40,AB40,"")</f>
        <v>4.05872972669124</v>
      </c>
      <c r="C74" s="103">
        <f>IF(V40,IF($W$61,"-",AQ40),"")</f>
        <v>5.0</v>
      </c>
      <c r="D74" s="103">
        <f>IF(V40,IF($W$61,"-",AR40),"")</f>
        <v>5.0</v>
      </c>
      <c r="E74" s="103">
        <f>IF(V40,IF($W$61,"-",AP40),"")</f>
        <v>15.0</v>
      </c>
      <c r="F74" s="104">
        <f>IF(V40,AT40,"")</f>
        <v>0.391038289787621</v>
      </c>
      <c r="G74" s="114">
        <f>IF(V40,AU40,"")</f>
        <v>4.44976801647886</v>
      </c>
      <c r="I74" s="104">
        <f>IF(V40,AE40,"")</f>
        <v>0.790569415042095</v>
      </c>
      <c r="V74" t="inlineStr">
        <is>
          <t>M (t.cm)</t>
        </is>
      </c>
      <c r="W74" s="109">
        <f>IF($W$61,0,N($C$31)*100)</f>
        <v>800.0</v>
      </c>
    </row>
    <row r="75" ht="14.25" customHeight="1" s="16">
      <c r="A75" s="113">
        <f>IF(V41,5,"")</f>
        <v/>
      </c>
      <c r="B75" s="104">
        <f>IF(V41,AB41,"")</f>
        <v/>
      </c>
      <c r="C75" s="103">
        <f>IF(V41,IF($W$61,"-",AQ41),"")</f>
        <v/>
      </c>
      <c r="D75" s="103">
        <f>IF(V41,IF($W$61,"-",AR41),"")</f>
        <v/>
      </c>
      <c r="E75" s="103">
        <f>IF(V41,IF($W$61,"-",AP41),"")</f>
        <v/>
      </c>
      <c r="F75" s="104">
        <f>IF(V41,AT41,"")</f>
        <v/>
      </c>
      <c r="G75" s="114">
        <f>IF(V41,AU41,"")</f>
        <v/>
      </c>
      <c r="I75" s="104">
        <f>IF(V41,AE41,"")</f>
        <v/>
      </c>
      <c r="V75" t="inlineStr">
        <is>
          <t>sign M</t>
        </is>
      </c>
      <c r="W75" s="109">
        <f>IF($W$74&gt;=0,1,-1)</f>
        <v>1.0</v>
      </c>
    </row>
    <row r="76" ht="14.25" customHeight="1" s="16">
      <c r="A76" s="113">
        <f>IF(V42,6,"")</f>
        <v/>
      </c>
      <c r="B76" s="104">
        <f>IF(V42,AB42,"")</f>
        <v/>
      </c>
      <c r="C76" s="103">
        <f>IF(V42,IF($W$61,"-",AQ42),"")</f>
        <v/>
      </c>
      <c r="D76" s="103">
        <f>IF(V42,IF($W$61,"-",AR42),"")</f>
        <v/>
      </c>
      <c r="E76" s="103">
        <f>IF(V42,IF($W$61,"-",AP42),"")</f>
        <v/>
      </c>
      <c r="F76" s="104">
        <f>IF(V42,AT42,"")</f>
        <v/>
      </c>
      <c r="G76" s="114">
        <f>IF(V42,AU42,"")</f>
        <v/>
      </c>
      <c r="I76" s="104">
        <f>IF(V42,AE42,"")</f>
        <v/>
      </c>
      <c r="V76" t="inlineStr">
        <is>
          <t>|M| t.cm</t>
        </is>
      </c>
      <c r="W76" s="109">
        <f>ABS($W$74)</f>
        <v>800.0</v>
      </c>
    </row>
    <row r="77" ht="14.25" customHeight="1" s="16">
      <c r="A77" s="113">
        <f>IF(V43,7,"")</f>
        <v/>
      </c>
      <c r="B77" s="104">
        <f>IF(V43,AB43,"")</f>
        <v/>
      </c>
      <c r="C77" s="103">
        <f>IF(V43,IF($W$61,"-",AQ43),"")</f>
        <v/>
      </c>
      <c r="D77" s="103">
        <f>IF(V43,IF($W$61,"-",AR43),"")</f>
        <v/>
      </c>
      <c r="E77" s="103">
        <f>IF(V43,IF($W$61,"-",AP43),"")</f>
        <v/>
      </c>
      <c r="F77" s="104">
        <f>IF(V43,AT43,"")</f>
        <v/>
      </c>
      <c r="G77" s="114">
        <f>IF(V43,AU43,"")</f>
        <v/>
      </c>
      <c r="I77" s="104">
        <f>IF(V43,AE43,"")</f>
        <v/>
      </c>
      <c r="V77" t="inlineStr">
        <is>
          <t>n bolts</t>
        </is>
      </c>
      <c r="W77" s="109">
        <f>MAX(1,COUNTIF($V$37:$V$48,TRUE))</f>
        <v>4.0</v>
      </c>
    </row>
    <row r="78" ht="14.25" customHeight="1" s="16">
      <c r="A78" s="113">
        <f>IF(V44,8,"")</f>
        <v/>
      </c>
      <c r="B78" s="104">
        <f>IF(V44,AB44,"")</f>
        <v/>
      </c>
      <c r="C78" s="103">
        <f>IF(V44,IF($W$61,"-",AQ44),"")</f>
        <v/>
      </c>
      <c r="D78" s="103">
        <f>IF(V44,IF($W$61,"-",AR44),"")</f>
        <v/>
      </c>
      <c r="E78" s="103">
        <f>IF(V44,IF($W$61,"-",AP44),"")</f>
        <v/>
      </c>
      <c r="F78" s="104">
        <f>IF(V44,AT44,"")</f>
        <v/>
      </c>
      <c r="G78" s="114">
        <f>IF(V44,AU44,"")</f>
        <v/>
      </c>
      <c r="I78" s="104">
        <f>IF(V44,AE44,"")</f>
        <v/>
      </c>
      <c r="V78" t="inlineStr">
        <is>
          <t>As bolt cm2</t>
        </is>
      </c>
      <c r="W78" s="109">
        <f>0.78*PI()*('2-Anchor Bolt'!$C$12/10)^2/4</f>
        <v>5.51349510705009</v>
      </c>
    </row>
    <row r="79" ht="14.25" customHeight="1" s="16">
      <c r="A79" s="113">
        <f>IF(V45,9,"")</f>
        <v/>
      </c>
      <c r="B79" s="104">
        <f>IF(V45,AB45,"")</f>
        <v/>
      </c>
      <c r="C79" s="103">
        <f>IF(V45,IF($W$61,"-",AQ45),"")</f>
        <v/>
      </c>
      <c r="D79" s="103">
        <f>IF(V45,IF($W$61,"-",AR45),"")</f>
        <v/>
      </c>
      <c r="E79" s="103">
        <f>IF(V45,IF($W$61,"-",AP45),"")</f>
        <v/>
      </c>
      <c r="F79" s="104">
        <f>IF(V45,AT45,"")</f>
        <v/>
      </c>
      <c r="G79" s="114">
        <f>IF(V45,AU45,"")</f>
        <v/>
      </c>
      <c r="I79" s="104">
        <f>IF(V45,AE45,"")</f>
        <v/>
      </c>
      <c r="V79" t="inlineStr">
        <is>
          <t>Ec t/cm2</t>
        </is>
      </c>
      <c r="W79" s="109">
        <f>4400*SQRT($C$22/10.2)/98.1</f>
        <v>222.051436753179</v>
      </c>
    </row>
    <row r="80" ht="14.25" customHeight="1" s="16">
      <c r="A80" s="113">
        <f>IF(V46,10,"")</f>
        <v/>
      </c>
      <c r="B80" s="104">
        <f>IF(V46,AB46,"")</f>
        <v/>
      </c>
      <c r="C80" s="103">
        <f>IF(V46,IF($W$61,"-",AQ46),"")</f>
        <v/>
      </c>
      <c r="D80" s="103">
        <f>IF(V46,IF($W$61,"-",AR46),"")</f>
        <v/>
      </c>
      <c r="E80" s="103">
        <f>IF(V46,IF($W$61,"-",AP46),"")</f>
        <v/>
      </c>
      <c r="F80" s="104">
        <f>IF(V46,AT46,"")</f>
        <v/>
      </c>
      <c r="G80" s="114">
        <f>IF(V46,AU46,"")</f>
        <v/>
      </c>
      <c r="I80" s="104">
        <f>IF(V46,AE46,"")</f>
        <v/>
      </c>
      <c r="V80" t="inlineStr">
        <is>
          <t>n = Es/Ec</t>
        </is>
      </c>
      <c r="W80" s="109">
        <f>2100/$W$79</f>
        <v>9.45726823796351</v>
      </c>
    </row>
    <row r="81" ht="14.25" customHeight="1" s="16">
      <c r="A81" s="113">
        <f>IF(V47,11,"")</f>
        <v/>
      </c>
      <c r="B81" s="104">
        <f>IF(V47,AB47,"")</f>
        <v/>
      </c>
      <c r="C81" s="103">
        <f>IF(V47,IF($W$61,"-",AQ47),"")</f>
        <v/>
      </c>
      <c r="D81" s="103">
        <f>IF(V47,IF($W$61,"-",AR47),"")</f>
        <v/>
      </c>
      <c r="E81" s="103">
        <f>IF(V47,IF($W$61,"-",AP47),"")</f>
        <v/>
      </c>
      <c r="F81" s="104">
        <f>IF(V47,AT47,"")</f>
        <v/>
      </c>
      <c r="G81" s="114">
        <f>IF(V47,AU47,"")</f>
        <v/>
      </c>
      <c r="I81" s="104">
        <f>IF(V47,AE47,"")</f>
        <v/>
      </c>
      <c r="V81" t="inlineStr">
        <is>
          <t>n As</t>
        </is>
      </c>
      <c r="W81" s="109">
        <f>$W$80*$W$78</f>
        <v>52.142602156072</v>
      </c>
    </row>
    <row r="82" ht="14.25" customHeight="1" s="16">
      <c r="A82" s="113">
        <f>IF(V48,12,"")</f>
        <v/>
      </c>
      <c r="B82" s="104">
        <f>IF(V48,AB48,"")</f>
        <v/>
      </c>
      <c r="C82" s="103">
        <f>IF(V48,IF($W$61,"-",AQ48),"")</f>
        <v/>
      </c>
      <c r="D82" s="103">
        <f>IF(V48,IF($W$61,"-",AR48),"")</f>
        <v/>
      </c>
      <c r="E82" s="103">
        <f>IF(V48,IF($W$61,"-",AP48),"")</f>
        <v/>
      </c>
      <c r="F82" s="104">
        <f>IF(V48,AT48,"")</f>
        <v/>
      </c>
      <c r="G82" s="114">
        <f>IF(V48,AU48,"")</f>
        <v/>
      </c>
      <c r="I82" s="104">
        <f>IF(V48,AE48,"")</f>
        <v/>
      </c>
      <c r="V82" t="inlineStr">
        <is>
          <t>d bar</t>
        </is>
      </c>
      <c r="W82" s="109">
        <f>SUMPRODUCT(--($V$37:$V$48),$Z$37:$Z$48)/$W$77</f>
        <v>30.0</v>
      </c>
    </row>
    <row r="83">
      <c r="A83" s="106" t="inlineStr">
        <is>
          <t>Prying (ECP 205):   Q = T·[ ½ − w·t⁴ / (30·a·b²·As) ] / [ (3a/4b + 1)·(a/3b + 1) + w·t⁴ / (6·a·b²·As) ]</t>
        </is>
      </c>
      <c r="B83" s="107" t="n"/>
      <c r="C83" s="107" t="n"/>
      <c r="D83" s="107" t="n"/>
      <c r="E83" s="107" t="n"/>
      <c r="F83" s="107" t="n"/>
      <c r="G83" s="107" t="n"/>
      <c r="H83" s="107" t="n"/>
      <c r="I83" s="108" t="n"/>
      <c r="V83" t="inlineStr">
        <is>
          <t>S2</t>
        </is>
      </c>
      <c r="W83" s="109">
        <f>SUMPRODUCT(--($V$37:$V$48),($Z$37:$Z$48-$W$82)^2)</f>
        <v>2500.0</v>
      </c>
    </row>
    <row r="84">
      <c r="A84" s="97" t="inlineStr">
        <is>
          <t>b = bolt to column face,  a = bolt to plate edge ≤ 1.25 b,  w = plate width per bolt,  t = plate thickness.   Highlighted row = critical bolt.</t>
        </is>
      </c>
      <c r="V84" t="inlineStr">
        <is>
          <t>T (uplift)</t>
        </is>
      </c>
      <c r="W84" s="109">
        <f>-$W$73</f>
        <v>-20.0</v>
      </c>
    </row>
    <row r="85" ht="20" customHeight="1" s="16">
      <c r="A85" s="115" t="str">
        <f>"TO SHEET 2:   max (T + Q) = "&amp;TEXT($W$123,"0.00")&amp;" ton  (bolt "&amp;$W$124&amp;")     |     max V = "&amp;TEXT($W$125,"0.00")&amp;" ton"</f>
        <v>TO SHEET 2:   max (T + Q) = 4.45 ton  (bolt 1)     |     max V = 0.79 ton</v>
      </c>
      <c r="V85" t="inlineStr">
        <is>
          <t>b coef (case B)</t>
        </is>
      </c>
      <c r="W85" s="116">
        <f>IF($W$83&gt;0,($W$76+$W$84*($W$71/2-$W$82))/$W$83,0)</f>
        <v>0.32</v>
      </c>
    </row>
    <row r="86" ht="7.5" customHeight="1" s="16">
      <c r="V86" t="inlineStr">
        <is>
          <t>a coef (case B)</t>
        </is>
      </c>
      <c r="W86" s="109">
        <f>$W$84/$W$77</f>
        <v>-5.0</v>
      </c>
    </row>
    <row r="87">
      <c r="A87" s="98" t="inlineStr">
        <is>
          <t>Concrete Bearing Check:</t>
        </is>
      </c>
      <c r="D87" s="106" t="inlineStr">
        <is>
          <t>Fb × √(A2/A1) ,  √(A2/A1) ≤ 2</t>
        </is>
      </c>
      <c r="E87" s="107" t="n"/>
      <c r="F87" s="108" t="n"/>
      <c r="V87" t="inlineStr">
        <is>
          <t>case B ok</t>
        </is>
      </c>
      <c r="W87" s="109">
        <f>AND($W$73&lt;=0,IF($W$83&gt;0,$W$86-$W$85*$W$82&gt;=-1E-9,ABS($W$76+$W$84*($W$71/2-$W$82))&lt;1E-9))</f>
        <v>0.0</v>
      </c>
    </row>
    <row r="88">
      <c r="A88" s="48" t="inlineStr">
        <is>
          <t>Allowable Bearing =</t>
        </is>
      </c>
      <c r="C88" s="103">
        <f>$W$109</f>
        <v>70.0</v>
      </c>
      <c r="D88" s="29" t="inlineStr">
        <is>
          <t>kg/cm2</t>
        </is>
      </c>
      <c r="E88" s="61" t="inlineStr">
        <is>
          <t>√(A2/A1) =</t>
        </is>
      </c>
      <c r="F88" s="104">
        <f>$W$110</f>
        <v>1.33333333333333</v>
      </c>
      <c r="V88" t="inlineStr">
        <is>
          <t>case</t>
        </is>
      </c>
      <c r="W88" s="109" t="str">
        <f>IF($W$61,"IDEA",IF(AND($W$73=0,$W$76=0),"None",IF(AND($W$73&gt;0,$W$76&lt;=$W$73*$W$71/6),"A",IF($W$87,"B","C"))))</f>
        <v>C</v>
      </c>
    </row>
    <row r="89">
      <c r="A89" s="48" t="inlineStr">
        <is>
          <t>Actual Bearing =</t>
        </is>
      </c>
      <c r="C89" s="103">
        <f>IF($W$61,"-",$W$94*1000)</f>
        <v>71.2929230740833</v>
      </c>
      <c r="D89" s="29" t="inlineStr">
        <is>
          <t>kg/cm2</t>
        </is>
      </c>
      <c r="E89" s="117" t="str">
        <f>IF($W$61,"-",IF($W$94*1000&lt;=$W$111,"&lt; ","&gt; ")&amp;TEXT($W$111,"0.0"))</f>
        <v>&lt; 93.3</v>
      </c>
      <c r="F89" s="118" t="str">
        <f>IF($W$61,"By IDEA",IF($W$94=0,"N/A",IF($W$94*1000&lt;=$W$111,"Safe","Un-Safe")))</f>
        <v>Safe</v>
      </c>
      <c r="G89" s="119" t="str">
        <f>IF($W$94&gt;0,"SR = "&amp;TEXT($W$94*1000/$W$111,"0%"),"")</f>
        <v>SR = 76%</v>
      </c>
      <c r="V89" t="inlineStr">
        <is>
          <t>j* (crossing)</t>
        </is>
      </c>
      <c r="W89" s="120">
        <f>IF(COUNT($CF$161:$CF$360)=0,"",MIN($CF$161:$CF$360))</f>
        <v>88.0</v>
      </c>
    </row>
    <row r="90" ht="7.5" customHeight="1" s="16">
      <c r="V90" t="inlineStr">
        <is>
          <t>c (cm)</t>
        </is>
      </c>
      <c r="W90" s="109">
        <f>IF(AND($W$88="C",ISNUMBER($W$89)),INDEX($CB$160:$CB$360,$W$89)+($W$71/200)*(-INDEX($CE$160:$CE$360,$W$89))/(INDEX($CE$160:$CE$360,$W$89+1)-INDEX($CE$160:$CE$360,$W$89)),"")</f>
        <v>26.2928943865059</v>
      </c>
    </row>
    <row r="91">
      <c r="A91" s="98" t="inlineStr">
        <is>
          <t>Base Plate Thickness Check:</t>
        </is>
      </c>
      <c r="D91" s="106" t="inlineStr">
        <is>
          <t>t = √((6M) / (b × σ))</t>
        </is>
      </c>
      <c r="E91" s="108" t="n"/>
      <c r="V91" t="inlineStr">
        <is>
          <t>G(c)</t>
        </is>
      </c>
      <c r="W91" s="109">
        <f>IF(ISNUMBER($W$90),$W$72*$W$90^2/2-$W$81*SUMPRODUCT(($Z$37:$Z$48&gt;$W$90)*($Z$37:$Z$48-$W$90)),"")</f>
        <v>7376.01805418581</v>
      </c>
    </row>
    <row r="92">
      <c r="A92" s="48" t="inlineStr">
        <is>
          <t>Allowable Stress =</t>
        </is>
      </c>
      <c r="C92" s="104">
        <f>$W$98</f>
        <v>1.728</v>
      </c>
      <c r="D92" s="29" t="inlineStr">
        <is>
          <t>t/cm2</t>
        </is>
      </c>
      <c r="E92" s="119" t="str">
        <f>IF($C$8="ASD","σ = 0.72 Fy  (ECP 205)","σ = 1.35 Fy  ≡  φMp = 0.9·Fy·t²/4")</f>
        <v>σ = 0.72 Fy  (ECP 205)</v>
      </c>
      <c r="V92" t="inlineStr">
        <is>
          <t>H(c)</t>
        </is>
      </c>
      <c r="W92" s="109">
        <f>IF(ISNUMBER($W$90),$W$72*$W$90^2/2*($W$71/2-$W$90/3)+$W$81*SUMPRODUCT(($Z$37:$Z$48&gt;$W$90)*($Z$37:$Z$48-$W$90)*($Z$37:$Z$48-$W$71/2)),"")</f>
        <v>295051.960512374</v>
      </c>
    </row>
    <row r="93">
      <c r="A93" s="48" t="inlineStr">
        <is>
          <t>Cantilever m =</t>
        </is>
      </c>
      <c r="C93" s="103">
        <f>$W$101</f>
        <v>11.0</v>
      </c>
      <c r="D93" s="29" t="inlineStr">
        <is>
          <t>cm</t>
        </is>
      </c>
      <c r="E93" s="61" t="inlineStr">
        <is>
          <t>n =</t>
        </is>
      </c>
      <c r="F93" s="103">
        <f>$W$102</f>
        <v>7.0</v>
      </c>
      <c r="G93" s="29" t="inlineStr">
        <is>
          <t>cm</t>
        </is>
      </c>
      <c r="H93" s="97" t="inlineStr">
        <is>
          <t>from 0.95h / 0.8b</t>
        </is>
      </c>
      <c r="V93" t="inlineStr">
        <is>
          <t>k (t/cm3)</t>
        </is>
      </c>
      <c r="W93" s="121">
        <f>IF(ISNUMBER($W$90),IF($W$73&lt;&gt;0,$W$73/$W$91,$W$76/$W$92),0)</f>
        <v>0.00271149010930772</v>
      </c>
    </row>
    <row r="94">
      <c r="A94" s="48" t="inlineStr">
        <is>
          <t>M (bearing) =</t>
        </is>
      </c>
      <c r="C94" s="104">
        <f>IF($W$61,"-",$W$106)</f>
        <v>3.71172295673395</v>
      </c>
      <c r="D94" s="29" t="inlineStr">
        <is>
          <t>t.cm/cm</t>
        </is>
      </c>
      <c r="E94" s="61" t="inlineStr">
        <is>
          <t>M (bolts) =</t>
        </is>
      </c>
      <c r="F94" s="104">
        <f>IF($W$61,"-",$W$107)</f>
        <v>1.22256381230121</v>
      </c>
      <c r="G94" s="29" t="inlineStr">
        <is>
          <t>t.cm/cm</t>
        </is>
      </c>
      <c r="V94" t="inlineStr">
        <is>
          <t>q max t/cm2</t>
        </is>
      </c>
      <c r="W94" s="116">
        <f>IF($W$88="A",$W$73/($W$72*$W$71)+6*$W$76/($W$72*$W$71^2),IF(ISNUMBER($W$90),$W$93*$W$90,0))</f>
        <v>0.0712929230740833</v>
      </c>
    </row>
    <row r="95">
      <c r="A95" s="97" t="inlineStr">
        <is>
          <t>bearing: cantilever m (pressure diagram) and n (pressure at the column face)   |   bolts: max( T·b − Q·a ,  Q·a ) / w</t>
        </is>
      </c>
      <c r="V95" t="inlineStr">
        <is>
          <t>q min t/cm2</t>
        </is>
      </c>
      <c r="W95" s="116">
        <f>IF($W$88="A",$W$73/($W$72*$W$71)-6*$W$76/($W$72*$W$71^2),0)</f>
        <v>0.0</v>
      </c>
    </row>
    <row r="96">
      <c r="A96" s="48" t="inlineStr">
        <is>
          <t>Design Thickness =</t>
        </is>
      </c>
      <c r="C96" s="122">
        <f>IF($W$61,"-",$W$108)</f>
        <v>3.58997589589456</v>
      </c>
      <c r="D96" s="29" t="inlineStr">
        <is>
          <t>cm</t>
        </is>
      </c>
      <c r="E96" s="117" t="str">
        <f>"Used = "&amp;$C$19&amp;" cm"</f>
        <v>Used = 4 cm</v>
      </c>
      <c r="F96" s="118" t="str">
        <f>IF($W$61,"By IDEA",IF($C$19&gt;=$W$108,"Safe","Un-Safe"))</f>
        <v>Safe</v>
      </c>
      <c r="V96" t="inlineStr">
        <is>
          <t>Fy plate</t>
        </is>
      </c>
      <c r="W96" s="109">
        <f>IF($C$16="ST 37",2.4,IF($C$16="ST 44",2.8,3.6))</f>
        <v>2.4</v>
      </c>
    </row>
    <row r="97" ht="7.5" customHeight="1" s="16">
      <c r="V97" t="inlineStr">
        <is>
          <t>Fu plate</t>
        </is>
      </c>
      <c r="W97" s="109">
        <f>IF($C$16="ST 37",3.6,IF($C$16="ST 44",4.4,5.2))</f>
        <v>3.6</v>
      </c>
    </row>
    <row r="98">
      <c r="A98" s="98" t="inlineStr">
        <is>
          <t>Column Weld Check:</t>
        </is>
      </c>
      <c r="D98" s="106" t="inlineStr">
        <is>
          <t>f = √( (N/Lw + M/Sw)² + (V/Lw)² ) / a</t>
        </is>
      </c>
      <c r="E98" s="107" t="n"/>
      <c r="F98" s="107" t="n"/>
      <c r="G98" s="107" t="n"/>
      <c r="H98" s="108" t="n"/>
      <c r="V98" t="inlineStr">
        <is>
          <t>sigma b</t>
        </is>
      </c>
      <c r="W98" s="109">
        <f>IF($W$60,0.72,1.35)*$W$96</f>
        <v>1.728</v>
      </c>
    </row>
    <row r="99">
      <c r="A99" s="48" t="inlineStr">
        <is>
          <t>Weld Length Lw =</t>
        </is>
      </c>
      <c r="C99" s="103">
        <f>$W$114</f>
        <v>152.8</v>
      </c>
      <c r="D99" s="29" t="inlineStr">
        <is>
          <t>cm</t>
        </is>
      </c>
      <c r="E99" s="61" t="inlineStr">
        <is>
          <t>Sw = Iw/c =</t>
        </is>
      </c>
      <c r="F99" s="105">
        <f>$W$117</f>
        <v>1893.2336</v>
      </c>
      <c r="G99" s="29" t="inlineStr">
        <is>
          <t>cm2</t>
        </is>
      </c>
      <c r="V99" t="inlineStr">
        <is>
          <t>crit. X</t>
        </is>
      </c>
      <c r="W99" s="109">
        <f>IF($W$62,0.8,0.95)*$W$65</f>
        <v>38.0</v>
      </c>
    </row>
    <row r="100">
      <c r="A100" s="48" t="inlineStr">
        <is>
          <t>Throat a = 0.7 s =</t>
        </is>
      </c>
      <c r="C100" s="104">
        <f>IF($C$20="Fillet",$W$113,"-")</f>
        <v>0.84</v>
      </c>
      <c r="D100" s="29" t="inlineStr">
        <is>
          <t>cm</t>
        </is>
      </c>
      <c r="E100" s="61" t="inlineStr">
        <is>
          <t>Allowable =</t>
        </is>
      </c>
      <c r="F100" s="104">
        <f>$W$120</f>
        <v>0.72</v>
      </c>
      <c r="G100" s="29" t="inlineStr">
        <is>
          <t>t/cm2</t>
        </is>
      </c>
      <c r="H100" s="119" t="str">
        <f>IF($C$8="ASD","0.2 Fu","0.75×0.6 Fu")</f>
        <v>0.2 Fu</v>
      </c>
      <c r="V100" t="inlineStr">
        <is>
          <t>crit. Y</t>
        </is>
      </c>
      <c r="W100" s="109">
        <f>IF($W$62,0.8*$W$65,IF($W$63,0.8,0.95)*$W$66)</f>
        <v>16.0</v>
      </c>
    </row>
    <row r="101">
      <c r="A101" s="48" t="inlineStr">
        <is>
          <t>Actual Stress =</t>
        </is>
      </c>
      <c r="C101" s="104">
        <f>IF(AND($C$20="Fillet",NOT($W$61)),$W$119,"-")</f>
        <v>0.659326583313654</v>
      </c>
      <c r="D101" s="29" t="inlineStr">
        <is>
          <t>t/cm2</t>
        </is>
      </c>
      <c r="E101" s="117" t="str">
        <f>IF($W$61,"-",IF($C$20="Fillet",IF($W$119&lt;=$W$120,"&lt; ","&gt; ")&amp;TEXT($W$120,"0.00"),"Full pen."))</f>
        <v>&lt; 0.72</v>
      </c>
      <c r="F101" s="118" t="str">
        <f>IF($W$61,"By IDEA",IF($C$20&lt;&gt;"Fillet","Safe",IF($W$119&lt;=$W$120,"Safe","Un-Safe")))</f>
        <v>Safe</v>
      </c>
      <c r="G101" s="119" t="str">
        <f>IF($C$20="Fillet","line method, all around","= base metal strength")</f>
        <v>line method, all around</v>
      </c>
      <c r="V101" t="inlineStr">
        <is>
          <t>m</t>
        </is>
      </c>
      <c r="W101" s="109">
        <f>MAX(0,($W$71-IF($W$64,$W$99,$W$100))/2)</f>
        <v>11.0</v>
      </c>
    </row>
    <row r="102" ht="7.5" customHeight="1" s="16">
      <c r="V102" t="inlineStr">
        <is>
          <t>n</t>
        </is>
      </c>
      <c r="W102" s="109">
        <f>MAX(0,($W$72-IF($W$64,$W$100,$W$99))/2)</f>
        <v>7.0</v>
      </c>
    </row>
    <row r="103">
      <c r="A103" s="102">
        <f>IF(NOT($W$128),"Check layout: the base plate must fit on the pedestal and every bolt needs ≥ 1.5 Ø to the plate edge.","")</f>
        <v/>
      </c>
      <c r="V103" t="inlineStr">
        <is>
          <t>q at face</t>
        </is>
      </c>
      <c r="W103" s="116">
        <f>IF($W$88="A",$W$94-($W$94-$W$95)*$W$101/$W$71,IF(ISNUMBER($W$90),MAX(0,$W$94*(1-$W$101/$W$90)),0))</f>
        <v>0.0414665318716984</v>
      </c>
    </row>
    <row r="104">
      <c r="A104" s="123" t="inlineStr">
        <is>
          <t>Notes: design aid only - the responsible engineer must verify all results. See sheet "Notes".</t>
        </is>
      </c>
      <c r="V104" t="inlineStr">
        <is>
          <t>M at m</t>
        </is>
      </c>
      <c r="W104" s="109">
        <f>IF($W$88="A",$W$101^2/6*(2*$W$94+$W$103),IF(ISNUMBER($W$90),IF($W$101&lt;=$W$90,$W$101^2/6*(2*$W$94+$W$103),$W$94*$W$90/2*($W$101-$W$90/3)),0))</f>
        <v>3.71172295673395</v>
      </c>
    </row>
    <row r="105">
      <c r="V105" t="inlineStr">
        <is>
          <t>M at n</t>
        </is>
      </c>
      <c r="W105" s="109">
        <f>$W$103*$W$102^2/2</f>
        <v>1.01593003085661</v>
      </c>
    </row>
    <row r="106">
      <c r="V106" t="inlineStr">
        <is>
          <t>M bearing</t>
        </is>
      </c>
      <c r="W106" s="109">
        <f>IF($W$61,0,MAX($W$104,$W$105))</f>
        <v>3.71172295673395</v>
      </c>
    </row>
    <row r="107">
      <c r="V107" t="inlineStr">
        <is>
          <t>M bolts</t>
        </is>
      </c>
      <c r="W107" s="109">
        <f>IF($W$61,0,MAX($AV$37:$AV$48))</f>
        <v>1.22256381230121</v>
      </c>
    </row>
    <row r="108">
      <c r="V108" t="inlineStr">
        <is>
          <t>t req</t>
        </is>
      </c>
      <c r="W108" s="109">
        <f>SQRT(6*MAX($W$106,$W$107)/$W$98)</f>
        <v>3.58997589589456</v>
      </c>
    </row>
    <row r="109">
      <c r="V109" t="inlineStr">
        <is>
          <t>Fp base kg/cm2</t>
        </is>
      </c>
      <c r="W109" s="109">
        <f>IF($W$60,IF($C$22=350,110,70),0.67*$C$22/1.5)</f>
        <v>70.0</v>
      </c>
    </row>
    <row r="110">
      <c r="V110" t="inlineStr">
        <is>
          <t>sqrt(A2/A1)</t>
        </is>
      </c>
      <c r="W110" s="109">
        <f>MIN(2,$C$23/$C$17,$C$24/$C$18)</f>
        <v>1.33333333333333</v>
      </c>
    </row>
    <row r="111">
      <c r="V111" t="inlineStr">
        <is>
          <t>Fp kg/cm2</t>
        </is>
      </c>
      <c r="W111" s="109">
        <f>$W$109*$W$110</f>
        <v>93.3333333333333</v>
      </c>
    </row>
    <row r="112">
      <c r="V112" t="inlineStr">
        <is>
          <t>s cm</t>
        </is>
      </c>
      <c r="W112" s="109">
        <f>$C$21/10</f>
        <v>1.2</v>
      </c>
    </row>
    <row r="113">
      <c r="V113" t="inlineStr">
        <is>
          <t>throat</t>
        </is>
      </c>
      <c r="W113" s="109">
        <f>0.7*$W$112</f>
        <v>0.84</v>
      </c>
    </row>
    <row r="114">
      <c r="V114" t="inlineStr">
        <is>
          <t>Lw</t>
        </is>
      </c>
      <c r="W114" s="109">
        <f>IF($W$62,PI()*$W$65,IF($W$63,2*$W$66+2*($W$66-$W$68)+2*($W$65-2*$W$67),2*($W$65+$W$66)))</f>
        <v>152.8</v>
      </c>
    </row>
    <row r="115">
      <c r="V115" t="inlineStr">
        <is>
          <t>Iw</t>
        </is>
      </c>
      <c r="W115" s="109">
        <f>IF($W$62,PI()*($W$65/2)^3,IF($W$63,IF($W$64,2*$W$66*($W$65/2)^2+2*($W$66-$W$68)*($W$65/2-$W$67)^2+2*($W$65-2*$W$67)^3/12,2*$W$66^3/12+4*(($W$66/2)^3-($W$68/2)^3)/3+2*($W$65-2*$W$67)*($W$68/2)^2),IF($W$64,2*$W$66*($W$65/2)^2+2*$W$65^3/12,2*$W$65*($W$66/2)^2+2*$W$66^3/12)))</f>
        <v>37864.672</v>
      </c>
    </row>
    <row r="116">
      <c r="V116" t="inlineStr">
        <is>
          <t>c weld</t>
        </is>
      </c>
      <c r="W116" s="109">
        <f>IF(OR($W$62,$W$64),$W$65/2,$W$66/2)</f>
        <v>20.0</v>
      </c>
    </row>
    <row r="117">
      <c r="V117" t="inlineStr">
        <is>
          <t>Sw</t>
        </is>
      </c>
      <c r="W117" s="109">
        <f>$W$115/$W$116</f>
        <v>1893.2336</v>
      </c>
    </row>
    <row r="118">
      <c r="V118" t="inlineStr">
        <is>
          <t>V resultant</t>
        </is>
      </c>
      <c r="W118" s="109">
        <f>SQRT(N($C$32)^2+N($C$33)^2)</f>
        <v>3.16227766016838</v>
      </c>
    </row>
    <row r="119">
      <c r="V119" t="inlineStr">
        <is>
          <t>f weld</t>
        </is>
      </c>
      <c r="W119" s="109">
        <f>SQRT((ABS($W$73)/$W$114+$W$76/$W$117)^2+($W$118/$W$114)^2)/$W$113</f>
        <v>0.659326583313654</v>
      </c>
    </row>
    <row r="120">
      <c r="V120" t="inlineStr">
        <is>
          <t>qw</t>
        </is>
      </c>
      <c r="W120" s="109">
        <f>IF($W$60,0.2,0.45)*$W$97</f>
        <v>0.72</v>
      </c>
    </row>
    <row r="121">
      <c r="V121" t="inlineStr">
        <is>
          <t>c min (pedestal)</t>
        </is>
      </c>
      <c r="W121" s="109">
        <f>MIN($AY$37:$AY$48)</f>
        <v>15.0</v>
      </c>
    </row>
    <row r="122">
      <c r="V122" t="inlineStr">
        <is>
          <t>s min</t>
        </is>
      </c>
      <c r="W122" s="109">
        <f>IF($W$77&gt;1,MIN($BA$37:$BL$48),"")</f>
        <v>20.0</v>
      </c>
    </row>
    <row r="123">
      <c r="V123" t="inlineStr">
        <is>
          <t>max T+Q</t>
        </is>
      </c>
      <c r="W123" s="109">
        <f>MAX($AU$37:$AU$48)</f>
        <v>4.44976801647886</v>
      </c>
    </row>
    <row r="124">
      <c r="V124" t="inlineStr">
        <is>
          <t>bolt no.</t>
        </is>
      </c>
      <c r="W124" s="120">
        <f>MATCH($W$123,$AU$37:$AU$48,0)</f>
        <v>1.0</v>
      </c>
    </row>
    <row r="125">
      <c r="V125" t="inlineStr">
        <is>
          <t>max V</t>
        </is>
      </c>
      <c r="W125" s="109">
        <f>MAX($AE$37:$AE$48)</f>
        <v>0.790569415042095</v>
      </c>
    </row>
    <row r="126">
      <c r="V126" t="inlineStr">
        <is>
          <t>plot scale</t>
        </is>
      </c>
      <c r="W126" s="109">
        <f>MAX($C$23,$C$24,$C$17,$C$18)/2*1.2</f>
        <v>48.0</v>
      </c>
    </row>
    <row r="127">
      <c r="V127" t="inlineStr">
        <is>
          <t>u of N.A.</t>
        </is>
      </c>
      <c r="W127" s="109">
        <f>IF(ISNUMBER($W$90),$W$75*($W$71/2-$W$90),"")</f>
        <v>3.70710561349406</v>
      </c>
    </row>
    <row r="128">
      <c r="V128" t="inlineStr">
        <is>
          <t>layout ok</t>
        </is>
      </c>
      <c r="W128" s="109">
        <f>AND($C$17&lt;=$C$23,$C$18&lt;=$C$24,COUNTIF($BM$37:$BM$48,FALSE)=0)</f>
        <v>1.0</v>
      </c>
    </row>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c r="CA159" t="inlineStr">
        <is>
          <t>j</t>
        </is>
      </c>
      <c r="CB159" t="inlineStr">
        <is>
          <t>c</t>
        </is>
      </c>
      <c r="CC159" t="inlineStr">
        <is>
          <t>G(c)</t>
        </is>
      </c>
      <c r="CD159" t="inlineStr">
        <is>
          <t>H(c)</t>
        </is>
      </c>
      <c r="CE159" t="inlineStr">
        <is>
          <t>R(c)</t>
        </is>
      </c>
      <c r="CF159" t="inlineStr">
        <is>
          <t>crossing</t>
        </is>
      </c>
    </row>
    <row r="160">
      <c r="CA160" t="n">
        <v>0</v>
      </c>
      <c r="CB160" s="101">
        <f>$W$71*CA160/200</f>
        <v>0.0</v>
      </c>
      <c r="CC160" s="101">
        <f>$W$72*CB160^2/2-$W$81*SUMPRODUCT(($Z$37:$Z$48&gt;CB160)*($Z$37:$Z$48-CB160))</f>
        <v>-6257.11225872864</v>
      </c>
      <c r="CD160" s="101">
        <f>$W$72*CB160^2/2*($W$71/2-CB160/3)+$W$81*SUMPRODUCT(($Z$37:$Z$48&gt;CB160)*($Z$37:$Z$48-CB160)*($Z$37:$Z$48-$W$71/2))</f>
        <v>130356.50539018</v>
      </c>
      <c r="CE160" s="101">
        <f>$W$76*CC160-$W$73*CD160</f>
        <v>-7612819.91478651</v>
      </c>
    </row>
    <row r="161">
      <c r="CA161" t="n">
        <v>1</v>
      </c>
      <c r="CB161" s="101">
        <f>$W$71*CA161/200</f>
        <v>0.3</v>
      </c>
      <c r="CC161" s="101">
        <f>$W$72*CB161^2/2-$W$81*SUMPRODUCT(($Z$37:$Z$48&gt;CB161)*($Z$37:$Z$48-CB161))</f>
        <v>-6193.19113614135</v>
      </c>
      <c r="CD161" s="101">
        <f>$W$72*CB161^2/2*($W$71/2-CB161/3)+$W$81*SUMPRODUCT(($Z$37:$Z$48&gt;CB161)*($Z$37:$Z$48-CB161)*($Z$37:$Z$48-$W$71/2))</f>
        <v>130396.87039018</v>
      </c>
      <c r="CE161" s="101">
        <f>$W$76*CC161-$W$73*CD161</f>
        <v>-7562490.31671668</v>
      </c>
      <c r="CF161" s="101">
        <f>IF(AND(CE160&lt;0,CE161&gt;=0,IF($W$73&gt;0,CC161&gt;0,IF($W$73&lt;0,CC160&lt;0,TRUE))),CA161,"")</f>
        <v/>
      </c>
    </row>
    <row r="162">
      <c r="CA162" t="n">
        <v>2</v>
      </c>
      <c r="CB162" s="101">
        <f>$W$71*CA162/200</f>
        <v>0.6</v>
      </c>
      <c r="CC162" s="101">
        <f>$W$72*CB162^2/2-$W$81*SUMPRODUCT(($Z$37:$Z$48&gt;CB162)*($Z$37:$Z$48-CB162))</f>
        <v>-6126.57001355407</v>
      </c>
      <c r="CD162" s="101">
        <f>$W$72*CB162^2/2*($W$71/2-CB162/3)+$W$81*SUMPRODUCT(($Z$37:$Z$48&gt;CB162)*($Z$37:$Z$48-CB162)*($Z$37:$Z$48-$W$71/2))</f>
        <v>130517.42539018</v>
      </c>
      <c r="CE162" s="101">
        <f>$W$76*CC162-$W$73*CD162</f>
        <v>-7511604.51864685</v>
      </c>
      <c r="CF162" s="101">
        <f>IF(AND(CE161&lt;0,CE162&gt;=0,IF($W$73&gt;0,CC162&gt;0,IF($W$73&lt;0,CC161&lt;0,TRUE))),CA162,"")</f>
        <v/>
      </c>
    </row>
    <row r="163">
      <c r="CA163" t="n">
        <v>3</v>
      </c>
      <c r="CB163" s="101">
        <f>$W$71*CA163/200</f>
        <v>0.9</v>
      </c>
      <c r="CC163" s="101">
        <f>$W$72*CB163^2/2-$W$81*SUMPRODUCT(($Z$37:$Z$48&gt;CB163)*($Z$37:$Z$48-CB163))</f>
        <v>-6057.24889096678</v>
      </c>
      <c r="CD163" s="101">
        <f>$W$72*CB163^2/2*($W$71/2-CB163/3)+$W$81*SUMPRODUCT(($Z$37:$Z$48&gt;CB163)*($Z$37:$Z$48-CB163)*($Z$37:$Z$48-$W$71/2))</f>
        <v>130717.36039018</v>
      </c>
      <c r="CE163" s="101">
        <f>$W$76*CC163-$W$73*CD163</f>
        <v>-7460146.32057702</v>
      </c>
      <c r="CF163" s="101">
        <f>IF(AND(CE162&lt;0,CE163&gt;=0,IF($W$73&gt;0,CC163&gt;0,IF($W$73&lt;0,CC162&lt;0,TRUE))),CA163,"")</f>
        <v/>
      </c>
    </row>
    <row r="164">
      <c r="CA164" t="n">
        <v>4</v>
      </c>
      <c r="CB164" s="101">
        <f>$W$71*CA164/200</f>
        <v>1.2</v>
      </c>
      <c r="CC164" s="101">
        <f>$W$72*CB164^2/2-$W$81*SUMPRODUCT(($Z$37:$Z$48&gt;CB164)*($Z$37:$Z$48-CB164))</f>
        <v>-5985.22776837949</v>
      </c>
      <c r="CD164" s="101">
        <f>$W$72*CB164^2/2*($W$71/2-CB164/3)+$W$81*SUMPRODUCT(($Z$37:$Z$48&gt;CB164)*($Z$37:$Z$48-CB164)*($Z$37:$Z$48-$W$71/2))</f>
        <v>130995.86539018</v>
      </c>
      <c r="CE164" s="101">
        <f>$W$76*CC164-$W$73*CD164</f>
        <v>-7408099.52250719</v>
      </c>
      <c r="CF164" s="101">
        <f>IF(AND(CE163&lt;0,CE164&gt;=0,IF($W$73&gt;0,CC164&gt;0,IF($W$73&lt;0,CC163&lt;0,TRUE))),CA164,"")</f>
        <v/>
      </c>
    </row>
    <row r="165">
      <c r="CA165" t="n">
        <v>5</v>
      </c>
      <c r="CB165" s="101">
        <f>$W$71*CA165/200</f>
        <v>1.5</v>
      </c>
      <c r="CC165" s="101">
        <f>$W$72*CB165^2/2-$W$81*SUMPRODUCT(($Z$37:$Z$48&gt;CB165)*($Z$37:$Z$48-CB165))</f>
        <v>-5910.50664579221</v>
      </c>
      <c r="CD165" s="101">
        <f>$W$72*CB165^2/2*($W$71/2-CB165/3)+$W$81*SUMPRODUCT(($Z$37:$Z$48&gt;CB165)*($Z$37:$Z$48-CB165)*($Z$37:$Z$48-$W$71/2))</f>
        <v>131352.13039018</v>
      </c>
      <c r="CE165" s="101">
        <f>$W$76*CC165-$W$73*CD165</f>
        <v>-7355447.92443737</v>
      </c>
      <c r="CF165" s="101">
        <f>IF(AND(CE164&lt;0,CE165&gt;=0,IF($W$73&gt;0,CC165&gt;0,IF($W$73&lt;0,CC164&lt;0,TRUE))),CA165,"")</f>
        <v/>
      </c>
    </row>
    <row r="166">
      <c r="CA166" t="n">
        <v>6</v>
      </c>
      <c r="CB166" s="101">
        <f>$W$71*CA166/200</f>
        <v>1.8</v>
      </c>
      <c r="CC166" s="101">
        <f>$W$72*CB166^2/2-$W$81*SUMPRODUCT(($Z$37:$Z$48&gt;CB166)*($Z$37:$Z$48-CB166))</f>
        <v>-5833.08552320492</v>
      </c>
      <c r="CD166" s="101">
        <f>$W$72*CB166^2/2*($W$71/2-CB166/3)+$W$81*SUMPRODUCT(($Z$37:$Z$48&gt;CB166)*($Z$37:$Z$48-CB166)*($Z$37:$Z$48-$W$71/2))</f>
        <v>131785.34539018</v>
      </c>
      <c r="CE166" s="101">
        <f>$W$76*CC166-$W$73*CD166</f>
        <v>-7302175.32636754</v>
      </c>
      <c r="CF166" s="101">
        <f>IF(AND(CE165&lt;0,CE166&gt;=0,IF($W$73&gt;0,CC166&gt;0,IF($W$73&lt;0,CC165&lt;0,TRUE))),CA166,"")</f>
        <v/>
      </c>
    </row>
    <row r="167">
      <c r="CA167" t="n">
        <v>7</v>
      </c>
      <c r="CB167" s="101">
        <f>$W$71*CA167/200</f>
        <v>2.1</v>
      </c>
      <c r="CC167" s="101">
        <f>$W$72*CB167^2/2-$W$81*SUMPRODUCT(($Z$37:$Z$48&gt;CB167)*($Z$37:$Z$48-CB167))</f>
        <v>-5752.96440061764</v>
      </c>
      <c r="CD167" s="101">
        <f>$W$72*CB167^2/2*($W$71/2-CB167/3)+$W$81*SUMPRODUCT(($Z$37:$Z$48&gt;CB167)*($Z$37:$Z$48-CB167)*($Z$37:$Z$48-$W$71/2))</f>
        <v>132294.70039018</v>
      </c>
      <c r="CE167" s="101">
        <f>$W$76*CC167-$W$73*CD167</f>
        <v>-7248265.52829771</v>
      </c>
      <c r="CF167" s="101">
        <f>IF(AND(CE166&lt;0,CE167&gt;=0,IF($W$73&gt;0,CC167&gt;0,IF($W$73&lt;0,CC166&lt;0,TRUE))),CA167,"")</f>
        <v/>
      </c>
    </row>
    <row r="168">
      <c r="CA168" t="n">
        <v>8</v>
      </c>
      <c r="CB168" s="101">
        <f>$W$71*CA168/200</f>
        <v>2.4</v>
      </c>
      <c r="CC168" s="101">
        <f>$W$72*CB168^2/2-$W$81*SUMPRODUCT(($Z$37:$Z$48&gt;CB168)*($Z$37:$Z$48-CB168))</f>
        <v>-5670.14327803035</v>
      </c>
      <c r="CD168" s="101">
        <f>$W$72*CB168^2/2*($W$71/2-CB168/3)+$W$81*SUMPRODUCT(($Z$37:$Z$48&gt;CB168)*($Z$37:$Z$48-CB168)*($Z$37:$Z$48-$W$71/2))</f>
        <v>132879.38539018</v>
      </c>
      <c r="CE168" s="101">
        <f>$W$76*CC168-$W$73*CD168</f>
        <v>-7193702.33022788</v>
      </c>
      <c r="CF168" s="101">
        <f>IF(AND(CE167&lt;0,CE168&gt;=0,IF($W$73&gt;0,CC168&gt;0,IF($W$73&lt;0,CC167&lt;0,TRUE))),CA168,"")</f>
        <v/>
      </c>
    </row>
    <row r="169">
      <c r="CA169" t="n">
        <v>9</v>
      </c>
      <c r="CB169" s="101">
        <f>$W$71*CA169/200</f>
        <v>2.7</v>
      </c>
      <c r="CC169" s="101">
        <f>$W$72*CB169^2/2-$W$81*SUMPRODUCT(($Z$37:$Z$48&gt;CB169)*($Z$37:$Z$48-CB169))</f>
        <v>-5584.62215544306</v>
      </c>
      <c r="CD169" s="101">
        <f>$W$72*CB169^2/2*($W$71/2-CB169/3)+$W$81*SUMPRODUCT(($Z$37:$Z$48&gt;CB169)*($Z$37:$Z$48-CB169)*($Z$37:$Z$48-$W$71/2))</f>
        <v>133538.59039018</v>
      </c>
      <c r="CE169" s="101">
        <f>$W$76*CC169-$W$73*CD169</f>
        <v>-7138469.53215805</v>
      </c>
      <c r="CF169" s="101">
        <f>IF(AND(CE168&lt;0,CE169&gt;=0,IF($W$73&gt;0,CC169&gt;0,IF($W$73&lt;0,CC168&lt;0,TRUE))),CA169,"")</f>
        <v/>
      </c>
    </row>
    <row r="170">
      <c r="CA170" t="n">
        <v>10</v>
      </c>
      <c r="CB170" s="101">
        <f>$W$71*CA170/200</f>
        <v>3.0</v>
      </c>
      <c r="CC170" s="101">
        <f>$W$72*CB170^2/2-$W$81*SUMPRODUCT(($Z$37:$Z$48&gt;CB170)*($Z$37:$Z$48-CB170))</f>
        <v>-5496.40103285578</v>
      </c>
      <c r="CD170" s="101">
        <f>$W$72*CB170^2/2*($W$71/2-CB170/3)+$W$81*SUMPRODUCT(($Z$37:$Z$48&gt;CB170)*($Z$37:$Z$48-CB170)*($Z$37:$Z$48-$W$71/2))</f>
        <v>134271.50539018</v>
      </c>
      <c r="CE170" s="101">
        <f>$W$76*CC170-$W$73*CD170</f>
        <v>-7082550.93408822</v>
      </c>
      <c r="CF170" s="101">
        <f>IF(AND(CE169&lt;0,CE170&gt;=0,IF($W$73&gt;0,CC170&gt;0,IF($W$73&lt;0,CC169&lt;0,TRUE))),CA170,"")</f>
        <v/>
      </c>
    </row>
    <row r="171">
      <c r="CA171" t="n">
        <v>11</v>
      </c>
      <c r="CB171" s="101">
        <f>$W$71*CA171/200</f>
        <v>3.3</v>
      </c>
      <c r="CC171" s="101">
        <f>$W$72*CB171^2/2-$W$81*SUMPRODUCT(($Z$37:$Z$48&gt;CB171)*($Z$37:$Z$48-CB171))</f>
        <v>-5405.47991026849</v>
      </c>
      <c r="CD171" s="101">
        <f>$W$72*CB171^2/2*($W$71/2-CB171/3)+$W$81*SUMPRODUCT(($Z$37:$Z$48&gt;CB171)*($Z$37:$Z$48-CB171)*($Z$37:$Z$48-$W$71/2))</f>
        <v>135077.32039018</v>
      </c>
      <c r="CE171" s="101">
        <f>$W$76*CC171-$W$73*CD171</f>
        <v>-7025930.33601839</v>
      </c>
      <c r="CF171" s="101">
        <f>IF(AND(CE170&lt;0,CE171&gt;=0,IF($W$73&gt;0,CC171&gt;0,IF($W$73&lt;0,CC170&lt;0,TRUE))),CA171,"")</f>
        <v/>
      </c>
    </row>
    <row r="172">
      <c r="CA172" t="n">
        <v>12</v>
      </c>
      <c r="CB172" s="101">
        <f>$W$71*CA172/200</f>
        <v>3.6</v>
      </c>
      <c r="CC172" s="101">
        <f>$W$72*CB172^2/2-$W$81*SUMPRODUCT(($Z$37:$Z$48&gt;CB172)*($Z$37:$Z$48-CB172))</f>
        <v>-5311.8587876812</v>
      </c>
      <c r="CD172" s="101">
        <f>$W$72*CB172^2/2*($W$71/2-CB172/3)+$W$81*SUMPRODUCT(($Z$37:$Z$48&gt;CB172)*($Z$37:$Z$48-CB172)*($Z$37:$Z$48-$W$71/2))</f>
        <v>135955.22539018</v>
      </c>
      <c r="CE172" s="101">
        <f>$W$76*CC172-$W$73*CD172</f>
        <v>-6968591.53794856</v>
      </c>
      <c r="CF172" s="101">
        <f>IF(AND(CE171&lt;0,CE172&gt;=0,IF($W$73&gt;0,CC172&gt;0,IF($W$73&lt;0,CC171&lt;0,TRUE))),CA172,"")</f>
        <v/>
      </c>
    </row>
    <row r="173">
      <c r="CA173" t="n">
        <v>13</v>
      </c>
      <c r="CB173" s="101">
        <f>$W$71*CA173/200</f>
        <v>3.9</v>
      </c>
      <c r="CC173" s="101">
        <f>$W$72*CB173^2/2-$W$81*SUMPRODUCT(($Z$37:$Z$48&gt;CB173)*($Z$37:$Z$48-CB173))</f>
        <v>-5215.53766509392</v>
      </c>
      <c r="CD173" s="101">
        <f>$W$72*CB173^2/2*($W$71/2-CB173/3)+$W$81*SUMPRODUCT(($Z$37:$Z$48&gt;CB173)*($Z$37:$Z$48-CB173)*($Z$37:$Z$48-$W$71/2))</f>
        <v>136904.41039018</v>
      </c>
      <c r="CE173" s="101">
        <f>$W$76*CC173-$W$73*CD173</f>
        <v>-6910518.33987873</v>
      </c>
      <c r="CF173" s="101">
        <f>IF(AND(CE172&lt;0,CE173&gt;=0,IF($W$73&gt;0,CC173&gt;0,IF($W$73&lt;0,CC172&lt;0,TRUE))),CA173,"")</f>
        <v/>
      </c>
    </row>
    <row r="174">
      <c r="CA174" t="n">
        <v>14</v>
      </c>
      <c r="CB174" s="101">
        <f>$W$71*CA174/200</f>
        <v>4.2</v>
      </c>
      <c r="CC174" s="101">
        <f>$W$72*CB174^2/2-$W$81*SUMPRODUCT(($Z$37:$Z$48&gt;CB174)*($Z$37:$Z$48-CB174))</f>
        <v>-5116.51654250663</v>
      </c>
      <c r="CD174" s="101">
        <f>$W$72*CB174^2/2*($W$71/2-CB174/3)+$W$81*SUMPRODUCT(($Z$37:$Z$48&gt;CB174)*($Z$37:$Z$48-CB174)*($Z$37:$Z$48-$W$71/2))</f>
        <v>137924.06539018</v>
      </c>
      <c r="CE174" s="101">
        <f>$W$76*CC174-$W$73*CD174</f>
        <v>-6851694.5418089</v>
      </c>
      <c r="CF174" s="101">
        <f>IF(AND(CE173&lt;0,CE174&gt;=0,IF($W$73&gt;0,CC174&gt;0,IF($W$73&lt;0,CC173&lt;0,TRUE))),CA174,"")</f>
        <v/>
      </c>
    </row>
    <row r="175">
      <c r="CA175" t="n">
        <v>15</v>
      </c>
      <c r="CB175" s="101">
        <f>$W$71*CA175/200</f>
        <v>4.5</v>
      </c>
      <c r="CC175" s="101">
        <f>$W$72*CB175^2/2-$W$81*SUMPRODUCT(($Z$37:$Z$48&gt;CB175)*($Z$37:$Z$48-CB175))</f>
        <v>-5014.79541991934</v>
      </c>
      <c r="CD175" s="101">
        <f>$W$72*CB175^2/2*($W$71/2-CB175/3)+$W$81*SUMPRODUCT(($Z$37:$Z$48&gt;CB175)*($Z$37:$Z$48-CB175)*($Z$37:$Z$48-$W$71/2))</f>
        <v>139013.38039018</v>
      </c>
      <c r="CE175" s="101">
        <f>$W$76*CC175-$W$73*CD175</f>
        <v>-6792103.94373908</v>
      </c>
      <c r="CF175" s="101">
        <f>IF(AND(CE174&lt;0,CE175&gt;=0,IF($W$73&gt;0,CC175&gt;0,IF($W$73&lt;0,CC174&lt;0,TRUE))),CA175,"")</f>
        <v/>
      </c>
    </row>
    <row r="176">
      <c r="CA176" t="n">
        <v>16</v>
      </c>
      <c r="CB176" s="101">
        <f>$W$71*CA176/200</f>
        <v>4.8</v>
      </c>
      <c r="CC176" s="101">
        <f>$W$72*CB176^2/2-$W$81*SUMPRODUCT(($Z$37:$Z$48&gt;CB176)*($Z$37:$Z$48-CB176))</f>
        <v>-4910.37429733206</v>
      </c>
      <c r="CD176" s="101">
        <f>$W$72*CB176^2/2*($W$71/2-CB176/3)+$W$81*SUMPRODUCT(($Z$37:$Z$48&gt;CB176)*($Z$37:$Z$48-CB176)*($Z$37:$Z$48-$W$71/2))</f>
        <v>140171.54539018</v>
      </c>
      <c r="CE176" s="101">
        <f>$W$76*CC176-$W$73*CD176</f>
        <v>-6731730.34566925</v>
      </c>
      <c r="CF176" s="101">
        <f>IF(AND(CE175&lt;0,CE176&gt;=0,IF($W$73&gt;0,CC176&gt;0,IF($W$73&lt;0,CC175&lt;0,TRUE))),CA176,"")</f>
        <v/>
      </c>
    </row>
    <row r="177">
      <c r="CA177" t="n">
        <v>17</v>
      </c>
      <c r="CB177" s="101">
        <f>$W$71*CA177/200</f>
        <v>5.1</v>
      </c>
      <c r="CC177" s="101">
        <f>$W$72*CB177^2/2-$W$81*SUMPRODUCT(($Z$37:$Z$48&gt;CB177)*($Z$37:$Z$48-CB177))</f>
        <v>-4813.68169517599</v>
      </c>
      <c r="CD177" s="101">
        <f>$W$72*CB177^2/2*($W$71/2-CB177/3)+$W$81*SUMPRODUCT(($Z$37:$Z$48&gt;CB177)*($Z$37:$Z$48-CB177)*($Z$37:$Z$48-$W$71/2))</f>
        <v>141137.0373794</v>
      </c>
      <c r="CE177" s="101">
        <f>$W$76*CC177-$W$73*CD177</f>
        <v>-6673686.10372878</v>
      </c>
      <c r="CF177" s="101">
        <f>IF(AND(CE176&lt;0,CE177&gt;=0,IF($W$73&gt;0,CC177&gt;0,IF($W$73&lt;0,CC176&lt;0,TRUE))),CA177,"")</f>
        <v/>
      </c>
    </row>
    <row r="178">
      <c r="CA178" t="n">
        <v>18</v>
      </c>
      <c r="CB178" s="101">
        <f>$W$71*CA178/200</f>
        <v>5.4</v>
      </c>
      <c r="CC178" s="101">
        <f>$W$72*CB178^2/2-$W$81*SUMPRODUCT(($Z$37:$Z$48&gt;CB178)*($Z$37:$Z$48-CB178))</f>
        <v>-4735.14613388234</v>
      </c>
      <c r="CD178" s="101">
        <f>$W$72*CB178^2/2*($W$71/2-CB178/3)+$W$81*SUMPRODUCT(($Z$37:$Z$48&gt;CB178)*($Z$37:$Z$48-CB178)*($Z$37:$Z$48-$W$71/2))</f>
        <v>141648.333347059</v>
      </c>
      <c r="CE178" s="101">
        <f>$W$76*CC178-$W$73*CD178</f>
        <v>-6621083.57404704</v>
      </c>
      <c r="CF178" s="101">
        <f>IF(AND(CE177&lt;0,CE178&gt;=0,IF($W$73&gt;0,CC178&gt;0,IF($W$73&lt;0,CC177&lt;0,TRUE))),CA178,"")</f>
        <v/>
      </c>
    </row>
    <row r="179">
      <c r="CA179" t="n">
        <v>19</v>
      </c>
      <c r="CB179" s="101">
        <f>$W$71*CA179/200</f>
        <v>5.7</v>
      </c>
      <c r="CC179" s="101">
        <f>$W$72*CB179^2/2-$W$81*SUMPRODUCT(($Z$37:$Z$48&gt;CB179)*($Z$37:$Z$48-CB179))</f>
        <v>-4653.9105725887</v>
      </c>
      <c r="CD179" s="101">
        <f>$W$72*CB179^2/2*($W$71/2-CB179/3)+$W$81*SUMPRODUCT(($Z$37:$Z$48&gt;CB179)*($Z$37:$Z$48-CB179)*($Z$37:$Z$48-$W$71/2))</f>
        <v>142226.049314717</v>
      </c>
      <c r="CE179" s="101">
        <f>$W$76*CC179-$W$73*CD179</f>
        <v>-6567649.44436531</v>
      </c>
      <c r="CF179" s="101">
        <f>IF(AND(CE178&lt;0,CE179&gt;=0,IF($W$73&gt;0,CC179&gt;0,IF($W$73&lt;0,CC178&lt;0,TRUE))),CA179,"")</f>
        <v/>
      </c>
    </row>
    <row r="180">
      <c r="CA180" t="n">
        <v>20</v>
      </c>
      <c r="CB180" s="101">
        <f>$W$71*CA180/200</f>
        <v>6.0</v>
      </c>
      <c r="CC180" s="101">
        <f>$W$72*CB180^2/2-$W$81*SUMPRODUCT(($Z$37:$Z$48&gt;CB180)*($Z$37:$Z$48-CB180))</f>
        <v>-4569.97501129506</v>
      </c>
      <c r="CD180" s="101">
        <f>$W$72*CB180^2/2*($W$71/2-CB180/3)+$W$81*SUMPRODUCT(($Z$37:$Z$48&gt;CB180)*($Z$37:$Z$48-CB180)*($Z$37:$Z$48-$W$71/2))</f>
        <v>142869.375282376</v>
      </c>
      <c r="CE180" s="101">
        <f>$W$76*CC180-$W$73*CD180</f>
        <v>-6513367.51468357</v>
      </c>
      <c r="CF180" s="101">
        <f>IF(AND(CE179&lt;0,CE180&gt;=0,IF($W$73&gt;0,CC180&gt;0,IF($W$73&lt;0,CC179&lt;0,TRUE))),CA180,"")</f>
        <v/>
      </c>
    </row>
    <row r="181">
      <c r="CA181" t="n">
        <v>21</v>
      </c>
      <c r="CB181" s="101">
        <f>$W$71*CA181/200</f>
        <v>6.3</v>
      </c>
      <c r="CC181" s="101">
        <f>$W$72*CB181^2/2-$W$81*SUMPRODUCT(($Z$37:$Z$48&gt;CB181)*($Z$37:$Z$48-CB181))</f>
        <v>-4483.33945000141</v>
      </c>
      <c r="CD181" s="101">
        <f>$W$72*CB181^2/2*($W$71/2-CB181/3)+$W$81*SUMPRODUCT(($Z$37:$Z$48&gt;CB181)*($Z$37:$Z$48-CB181)*($Z$37:$Z$48-$W$71/2))</f>
        <v>143577.501250035</v>
      </c>
      <c r="CE181" s="101">
        <f>$W$76*CC181-$W$73*CD181</f>
        <v>-6458221.58500184</v>
      </c>
      <c r="CF181" s="101">
        <f>IF(AND(CE180&lt;0,CE181&gt;=0,IF($W$73&gt;0,CC181&gt;0,IF($W$73&lt;0,CC180&lt;0,TRUE))),CA181,"")</f>
        <v/>
      </c>
    </row>
    <row r="182">
      <c r="CA182" t="n">
        <v>22</v>
      </c>
      <c r="CB182" s="101">
        <f>$W$71*CA182/200</f>
        <v>6.6</v>
      </c>
      <c r="CC182" s="101">
        <f>$W$72*CB182^2/2-$W$81*SUMPRODUCT(($Z$37:$Z$48&gt;CB182)*($Z$37:$Z$48-CB182))</f>
        <v>-4394.00388870777</v>
      </c>
      <c r="CD182" s="101">
        <f>$W$72*CB182^2/2*($W$71/2-CB182/3)+$W$81*SUMPRODUCT(($Z$37:$Z$48&gt;CB182)*($Z$37:$Z$48-CB182)*($Z$37:$Z$48-$W$71/2))</f>
        <v>144349.617217694</v>
      </c>
      <c r="CE182" s="101">
        <f>$W$76*CC182-$W$73*CD182</f>
        <v>-6402195.4553201</v>
      </c>
      <c r="CF182" s="101">
        <f>IF(AND(CE181&lt;0,CE182&gt;=0,IF($W$73&gt;0,CC182&gt;0,IF($W$73&lt;0,CC181&lt;0,TRUE))),CA182,"")</f>
        <v/>
      </c>
    </row>
    <row r="183">
      <c r="CA183" t="n">
        <v>23</v>
      </c>
      <c r="CB183" s="101">
        <f>$W$71*CA183/200</f>
        <v>6.9</v>
      </c>
      <c r="CC183" s="101">
        <f>$W$72*CB183^2/2-$W$81*SUMPRODUCT(($Z$37:$Z$48&gt;CB183)*($Z$37:$Z$48-CB183))</f>
        <v>-4301.96832741413</v>
      </c>
      <c r="CD183" s="101">
        <f>$W$72*CB183^2/2*($W$71/2-CB183/3)+$W$81*SUMPRODUCT(($Z$37:$Z$48&gt;CB183)*($Z$37:$Z$48-CB183)*($Z$37:$Z$48-$W$71/2))</f>
        <v>145184.913185353</v>
      </c>
      <c r="CE183" s="101">
        <f>$W$76*CC183-$W$73*CD183</f>
        <v>-6345272.92563837</v>
      </c>
      <c r="CF183" s="101">
        <f>IF(AND(CE182&lt;0,CE183&gt;=0,IF($W$73&gt;0,CC183&gt;0,IF($W$73&lt;0,CC182&lt;0,TRUE))),CA183,"")</f>
        <v/>
      </c>
    </row>
    <row r="184">
      <c r="CA184" t="n">
        <v>24</v>
      </c>
      <c r="CB184" s="101">
        <f>$W$71*CA184/200</f>
        <v>7.2</v>
      </c>
      <c r="CC184" s="101">
        <f>$W$72*CB184^2/2-$W$81*SUMPRODUCT(($Z$37:$Z$48&gt;CB184)*($Z$37:$Z$48-CB184))</f>
        <v>-4207.23276612048</v>
      </c>
      <c r="CD184" s="101">
        <f>$W$72*CB184^2/2*($W$71/2-CB184/3)+$W$81*SUMPRODUCT(($Z$37:$Z$48&gt;CB184)*($Z$37:$Z$48-CB184)*($Z$37:$Z$48-$W$71/2))</f>
        <v>146082.579153012</v>
      </c>
      <c r="CE184" s="101">
        <f>$W$76*CC184-$W$73*CD184</f>
        <v>-6287437.79595663</v>
      </c>
      <c r="CF184" s="101">
        <f>IF(AND(CE183&lt;0,CE184&gt;=0,IF($W$73&gt;0,CC184&gt;0,IF($W$73&lt;0,CC183&lt;0,TRUE))),CA184,"")</f>
        <v/>
      </c>
    </row>
    <row r="185">
      <c r="CA185" t="n">
        <v>25</v>
      </c>
      <c r="CB185" s="101">
        <f>$W$71*CA185/200</f>
        <v>7.5</v>
      </c>
      <c r="CC185" s="101">
        <f>$W$72*CB185^2/2-$W$81*SUMPRODUCT(($Z$37:$Z$48&gt;CB185)*($Z$37:$Z$48-CB185))</f>
        <v>-4109.79720482684</v>
      </c>
      <c r="CD185" s="101">
        <f>$W$72*CB185^2/2*($W$71/2-CB185/3)+$W$81*SUMPRODUCT(($Z$37:$Z$48&gt;CB185)*($Z$37:$Z$48-CB185)*($Z$37:$Z$48-$W$71/2))</f>
        <v>147041.805120671</v>
      </c>
      <c r="CE185" s="101">
        <f>$W$76*CC185-$W$73*CD185</f>
        <v>-6228673.86627489</v>
      </c>
      <c r="CF185" s="101">
        <f>IF(AND(CE184&lt;0,CE185&gt;=0,IF($W$73&gt;0,CC185&gt;0,IF($W$73&lt;0,CC184&lt;0,TRUE))),CA185,"")</f>
        <v/>
      </c>
    </row>
    <row r="186">
      <c r="CA186" t="n">
        <v>26</v>
      </c>
      <c r="CB186" s="101">
        <f>$W$71*CA186/200</f>
        <v>7.8</v>
      </c>
      <c r="CC186" s="101">
        <f>$W$72*CB186^2/2-$W$81*SUMPRODUCT(($Z$37:$Z$48&gt;CB186)*($Z$37:$Z$48-CB186))</f>
        <v>-4009.6616435332</v>
      </c>
      <c r="CD186" s="101">
        <f>$W$72*CB186^2/2*($W$71/2-CB186/3)+$W$81*SUMPRODUCT(($Z$37:$Z$48&gt;CB186)*($Z$37:$Z$48-CB186)*($Z$37:$Z$48-$W$71/2))</f>
        <v>148061.78108833</v>
      </c>
      <c r="CE186" s="101">
        <f>$W$76*CC186-$W$73*CD186</f>
        <v>-6168964.93659316</v>
      </c>
      <c r="CF186" s="101">
        <f>IF(AND(CE185&lt;0,CE186&gt;=0,IF($W$73&gt;0,CC186&gt;0,IF($W$73&lt;0,CC185&lt;0,TRUE))),CA186,"")</f>
        <v/>
      </c>
    </row>
    <row r="187">
      <c r="CA187" t="n">
        <v>27</v>
      </c>
      <c r="CB187" s="101">
        <f>$W$71*CA187/200</f>
        <v>8.1</v>
      </c>
      <c r="CC187" s="101">
        <f>$W$72*CB187^2/2-$W$81*SUMPRODUCT(($Z$37:$Z$48&gt;CB187)*($Z$37:$Z$48-CB187))</f>
        <v>-3906.82608223955</v>
      </c>
      <c r="CD187" s="101">
        <f>$W$72*CB187^2/2*($W$71/2-CB187/3)+$W$81*SUMPRODUCT(($Z$37:$Z$48&gt;CB187)*($Z$37:$Z$48-CB187)*($Z$37:$Z$48-$W$71/2))</f>
        <v>149141.697055989</v>
      </c>
      <c r="CE187" s="101">
        <f>$W$76*CC187-$W$73*CD187</f>
        <v>-6108294.80691142</v>
      </c>
      <c r="CF187" s="101">
        <f>IF(AND(CE186&lt;0,CE187&gt;=0,IF($W$73&gt;0,CC187&gt;0,IF($W$73&lt;0,CC186&lt;0,TRUE))),CA187,"")</f>
        <v/>
      </c>
    </row>
    <row r="188">
      <c r="CA188" t="n">
        <v>28</v>
      </c>
      <c r="CB188" s="101">
        <f>$W$71*CA188/200</f>
        <v>8.4</v>
      </c>
      <c r="CC188" s="101">
        <f>$W$72*CB188^2/2-$W$81*SUMPRODUCT(($Z$37:$Z$48&gt;CB188)*($Z$37:$Z$48-CB188))</f>
        <v>-3801.29052094591</v>
      </c>
      <c r="CD188" s="101">
        <f>$W$72*CB188^2/2*($W$71/2-CB188/3)+$W$81*SUMPRODUCT(($Z$37:$Z$48&gt;CB188)*($Z$37:$Z$48-CB188)*($Z$37:$Z$48-$W$71/2))</f>
        <v>150280.743023648</v>
      </c>
      <c r="CE188" s="101">
        <f>$W$76*CC188-$W$73*CD188</f>
        <v>-6046647.27722968</v>
      </c>
      <c r="CF188" s="101">
        <f>IF(AND(CE187&lt;0,CE188&gt;=0,IF($W$73&gt;0,CC188&gt;0,IF($W$73&lt;0,CC187&lt;0,TRUE))),CA188,"")</f>
        <v/>
      </c>
    </row>
    <row r="189">
      <c r="CA189" t="n">
        <v>29</v>
      </c>
      <c r="CB189" s="101">
        <f>$W$71*CA189/200</f>
        <v>8.7</v>
      </c>
      <c r="CC189" s="101">
        <f>$W$72*CB189^2/2-$W$81*SUMPRODUCT(($Z$37:$Z$48&gt;CB189)*($Z$37:$Z$48-CB189))</f>
        <v>-3693.05495965227</v>
      </c>
      <c r="CD189" s="101">
        <f>$W$72*CB189^2/2*($W$71/2-CB189/3)+$W$81*SUMPRODUCT(($Z$37:$Z$48&gt;CB189)*($Z$37:$Z$48-CB189)*($Z$37:$Z$48-$W$71/2))</f>
        <v>151478.108991307</v>
      </c>
      <c r="CE189" s="101">
        <f>$W$76*CC189-$W$73*CD189</f>
        <v>-5984006.14754795</v>
      </c>
      <c r="CF189" s="101">
        <f>IF(AND(CE188&lt;0,CE189&gt;=0,IF($W$73&gt;0,CC189&gt;0,IF($W$73&lt;0,CC188&lt;0,TRUE))),CA189,"")</f>
        <v/>
      </c>
    </row>
    <row r="190">
      <c r="CA190" t="n">
        <v>30</v>
      </c>
      <c r="CB190" s="101">
        <f>$W$71*CA190/200</f>
        <v>9.0</v>
      </c>
      <c r="CC190" s="101">
        <f>$W$72*CB190^2/2-$W$81*SUMPRODUCT(($Z$37:$Z$48&gt;CB190)*($Z$37:$Z$48-CB190))</f>
        <v>-3582.11939835862</v>
      </c>
      <c r="CD190" s="101">
        <f>$W$72*CB190^2/2*($W$71/2-CB190/3)+$W$81*SUMPRODUCT(($Z$37:$Z$48&gt;CB190)*($Z$37:$Z$48-CB190)*($Z$37:$Z$48-$W$71/2))</f>
        <v>152732.984958966</v>
      </c>
      <c r="CE190" s="101">
        <f>$W$76*CC190-$W$73*CD190</f>
        <v>-5920355.21786621</v>
      </c>
      <c r="CF190" s="101">
        <f>IF(AND(CE189&lt;0,CE190&gt;=0,IF($W$73&gt;0,CC190&gt;0,IF($W$73&lt;0,CC189&lt;0,TRUE))),CA190,"")</f>
        <v/>
      </c>
    </row>
    <row r="191">
      <c r="CA191" t="n">
        <v>31</v>
      </c>
      <c r="CB191" s="101">
        <f>$W$71*CA191/200</f>
        <v>9.3</v>
      </c>
      <c r="CC191" s="101">
        <f>$W$72*CB191^2/2-$W$81*SUMPRODUCT(($Z$37:$Z$48&gt;CB191)*($Z$37:$Z$48-CB191))</f>
        <v>-3468.48383706498</v>
      </c>
      <c r="CD191" s="101">
        <f>$W$72*CB191^2/2*($W$71/2-CB191/3)+$W$81*SUMPRODUCT(($Z$37:$Z$48&gt;CB191)*($Z$37:$Z$48-CB191)*($Z$37:$Z$48-$W$71/2))</f>
        <v>154044.560926625</v>
      </c>
      <c r="CE191" s="101">
        <f>$W$76*CC191-$W$73*CD191</f>
        <v>-5855678.28818448</v>
      </c>
      <c r="CF191" s="101">
        <f>IF(AND(CE190&lt;0,CE191&gt;=0,IF($W$73&gt;0,CC191&gt;0,IF($W$73&lt;0,CC190&lt;0,TRUE))),CA191,"")</f>
        <v/>
      </c>
    </row>
    <row r="192">
      <c r="CA192" t="n">
        <v>32</v>
      </c>
      <c r="CB192" s="101">
        <f>$W$71*CA192/200</f>
        <v>9.6</v>
      </c>
      <c r="CC192" s="101">
        <f>$W$72*CB192^2/2-$W$81*SUMPRODUCT(($Z$37:$Z$48&gt;CB192)*($Z$37:$Z$48-CB192))</f>
        <v>-3352.14827577134</v>
      </c>
      <c r="CD192" s="101">
        <f>$W$72*CB192^2/2*($W$71/2-CB192/3)+$W$81*SUMPRODUCT(($Z$37:$Z$48&gt;CB192)*($Z$37:$Z$48-CB192)*($Z$37:$Z$48-$W$71/2))</f>
        <v>155412.026894283</v>
      </c>
      <c r="CE192" s="101">
        <f>$W$76*CC192-$W$73*CD192</f>
        <v>-5789959.15850274</v>
      </c>
      <c r="CF192" s="101">
        <f>IF(AND(CE191&lt;0,CE192&gt;=0,IF($W$73&gt;0,CC192&gt;0,IF($W$73&lt;0,CC191&lt;0,TRUE))),CA192,"")</f>
        <v/>
      </c>
    </row>
    <row r="193">
      <c r="CA193" t="n">
        <v>33</v>
      </c>
      <c r="CB193" s="101">
        <f>$W$71*CA193/200</f>
        <v>9.9</v>
      </c>
      <c r="CC193" s="101">
        <f>$W$72*CB193^2/2-$W$81*SUMPRODUCT(($Z$37:$Z$48&gt;CB193)*($Z$37:$Z$48-CB193))</f>
        <v>-3233.11271447769</v>
      </c>
      <c r="CD193" s="101">
        <f>$W$72*CB193^2/2*($W$71/2-CB193/3)+$W$81*SUMPRODUCT(($Z$37:$Z$48&gt;CB193)*($Z$37:$Z$48-CB193)*($Z$37:$Z$48-$W$71/2))</f>
        <v>156834.572861942</v>
      </c>
      <c r="CE193" s="101">
        <f>$W$76*CC193-$W$73*CD193</f>
        <v>-5723181.628821</v>
      </c>
      <c r="CF193" s="101">
        <f>IF(AND(CE192&lt;0,CE193&gt;=0,IF($W$73&gt;0,CC193&gt;0,IF($W$73&lt;0,CC192&lt;0,TRUE))),CA193,"")</f>
        <v/>
      </c>
    </row>
    <row r="194">
      <c r="CA194" t="n">
        <v>34</v>
      </c>
      <c r="CB194" s="101">
        <f>$W$71*CA194/200</f>
        <v>10.2</v>
      </c>
      <c r="CC194" s="101">
        <f>$W$72*CB194^2/2-$W$81*SUMPRODUCT(($Z$37:$Z$48&gt;CB194)*($Z$37:$Z$48-CB194))</f>
        <v>-3111.37715318405</v>
      </c>
      <c r="CD194" s="101">
        <f>$W$72*CB194^2/2*($W$71/2-CB194/3)+$W$81*SUMPRODUCT(($Z$37:$Z$48&gt;CB194)*($Z$37:$Z$48-CB194)*($Z$37:$Z$48-$W$71/2))</f>
        <v>158311.388829601</v>
      </c>
      <c r="CE194" s="101">
        <f>$W$76*CC194-$W$73*CD194</f>
        <v>-5655329.49913927</v>
      </c>
      <c r="CF194" s="101">
        <f>IF(AND(CE193&lt;0,CE194&gt;=0,IF($W$73&gt;0,CC194&gt;0,IF($W$73&lt;0,CC193&lt;0,TRUE))),CA194,"")</f>
        <v/>
      </c>
    </row>
    <row r="195">
      <c r="CA195" t="n">
        <v>35</v>
      </c>
      <c r="CB195" s="101">
        <f>$W$71*CA195/200</f>
        <v>10.5</v>
      </c>
      <c r="CC195" s="101">
        <f>$W$72*CB195^2/2-$W$81*SUMPRODUCT(($Z$37:$Z$48&gt;CB195)*($Z$37:$Z$48-CB195))</f>
        <v>-2986.94159189041</v>
      </c>
      <c r="CD195" s="101">
        <f>$W$72*CB195^2/2*($W$71/2-CB195/3)+$W$81*SUMPRODUCT(($Z$37:$Z$48&gt;CB195)*($Z$37:$Z$48-CB195)*($Z$37:$Z$48-$W$71/2))</f>
        <v>159841.66479726</v>
      </c>
      <c r="CE195" s="101">
        <f>$W$76*CC195-$W$73*CD195</f>
        <v>-5586386.56945753</v>
      </c>
      <c r="CF195" s="101">
        <f>IF(AND(CE194&lt;0,CE195&gt;=0,IF($W$73&gt;0,CC195&gt;0,IF($W$73&lt;0,CC194&lt;0,TRUE))),CA195,"")</f>
        <v/>
      </c>
    </row>
    <row r="196">
      <c r="CA196" t="n">
        <v>36</v>
      </c>
      <c r="CB196" s="101">
        <f>$W$71*CA196/200</f>
        <v>10.8</v>
      </c>
      <c r="CC196" s="101">
        <f>$W$72*CB196^2/2-$W$81*SUMPRODUCT(($Z$37:$Z$48&gt;CB196)*($Z$37:$Z$48-CB196))</f>
        <v>-2859.80603059676</v>
      </c>
      <c r="CD196" s="101">
        <f>$W$72*CB196^2/2*($W$71/2-CB196/3)+$W$81*SUMPRODUCT(($Z$37:$Z$48&gt;CB196)*($Z$37:$Z$48-CB196)*($Z$37:$Z$48-$W$71/2))</f>
        <v>161424.590764919</v>
      </c>
      <c r="CE196" s="101">
        <f>$W$76*CC196-$W$73*CD196</f>
        <v>-5516336.63977579</v>
      </c>
      <c r="CF196" s="101">
        <f>IF(AND(CE195&lt;0,CE196&gt;=0,IF($W$73&gt;0,CC196&gt;0,IF($W$73&lt;0,CC195&lt;0,TRUE))),CA196,"")</f>
        <v/>
      </c>
    </row>
    <row r="197">
      <c r="CA197" t="n">
        <v>37</v>
      </c>
      <c r="CB197" s="101">
        <f>$W$71*CA197/200</f>
        <v>11.1</v>
      </c>
      <c r="CC197" s="101">
        <f>$W$72*CB197^2/2-$W$81*SUMPRODUCT(($Z$37:$Z$48&gt;CB197)*($Z$37:$Z$48-CB197))</f>
        <v>-2729.97046930312</v>
      </c>
      <c r="CD197" s="101">
        <f>$W$72*CB197^2/2*($W$71/2-CB197/3)+$W$81*SUMPRODUCT(($Z$37:$Z$48&gt;CB197)*($Z$37:$Z$48-CB197)*($Z$37:$Z$48-$W$71/2))</f>
        <v>163059.356732578</v>
      </c>
      <c r="CE197" s="101">
        <f>$W$76*CC197-$W$73*CD197</f>
        <v>-5445163.51009406</v>
      </c>
      <c r="CF197" s="101">
        <f>IF(AND(CE196&lt;0,CE197&gt;=0,IF($W$73&gt;0,CC197&gt;0,IF($W$73&lt;0,CC196&lt;0,TRUE))),CA197,"")</f>
        <v/>
      </c>
    </row>
    <row r="198">
      <c r="CA198" t="n">
        <v>38</v>
      </c>
      <c r="CB198" s="101">
        <f>$W$71*CA198/200</f>
        <v>11.4</v>
      </c>
      <c r="CC198" s="101">
        <f>$W$72*CB198^2/2-$W$81*SUMPRODUCT(($Z$37:$Z$48&gt;CB198)*($Z$37:$Z$48-CB198))</f>
        <v>-2597.43490800948</v>
      </c>
      <c r="CD198" s="101">
        <f>$W$72*CB198^2/2*($W$71/2-CB198/3)+$W$81*SUMPRODUCT(($Z$37:$Z$48&gt;CB198)*($Z$37:$Z$48-CB198)*($Z$37:$Z$48-$W$71/2))</f>
        <v>164745.152700237</v>
      </c>
      <c r="CE198" s="101">
        <f>$W$76*CC198-$W$73*CD198</f>
        <v>-5372850.98041232</v>
      </c>
      <c r="CF198" s="101">
        <f>IF(AND(CE197&lt;0,CE198&gt;=0,IF($W$73&gt;0,CC198&gt;0,IF($W$73&lt;0,CC197&lt;0,TRUE))),CA198,"")</f>
        <v/>
      </c>
    </row>
    <row r="199">
      <c r="CA199" t="n">
        <v>39</v>
      </c>
      <c r="CB199" s="101">
        <f>$W$71*CA199/200</f>
        <v>11.7</v>
      </c>
      <c r="CC199" s="101">
        <f>$W$72*CB199^2/2-$W$81*SUMPRODUCT(($Z$37:$Z$48&gt;CB199)*($Z$37:$Z$48-CB199))</f>
        <v>-2462.19934671584</v>
      </c>
      <c r="CD199" s="101">
        <f>$W$72*CB199^2/2*($W$71/2-CB199/3)+$W$81*SUMPRODUCT(($Z$37:$Z$48&gt;CB199)*($Z$37:$Z$48-CB199)*($Z$37:$Z$48-$W$71/2))</f>
        <v>166481.168667896</v>
      </c>
      <c r="CE199" s="101">
        <f>$W$76*CC199-$W$73*CD199</f>
        <v>-5299382.85073059</v>
      </c>
      <c r="CF199" s="101">
        <f>IF(AND(CE198&lt;0,CE199&gt;=0,IF($W$73&gt;0,CC199&gt;0,IF($W$73&lt;0,CC198&lt;0,TRUE))),CA199,"")</f>
        <v/>
      </c>
    </row>
    <row r="200">
      <c r="CA200" t="n">
        <v>40</v>
      </c>
      <c r="CB200" s="101">
        <f>$W$71*CA200/200</f>
        <v>12.0</v>
      </c>
      <c r="CC200" s="101">
        <f>$W$72*CB200^2/2-$W$81*SUMPRODUCT(($Z$37:$Z$48&gt;CB200)*($Z$37:$Z$48-CB200))</f>
        <v>-2324.26378542219</v>
      </c>
      <c r="CD200" s="101">
        <f>$W$72*CB200^2/2*($W$71/2-CB200/3)+$W$81*SUMPRODUCT(($Z$37:$Z$48&gt;CB200)*($Z$37:$Z$48-CB200)*($Z$37:$Z$48-$W$71/2))</f>
        <v>168266.594635555</v>
      </c>
      <c r="CE200" s="101">
        <f>$W$76*CC200-$W$73*CD200</f>
        <v>-5224742.92104885</v>
      </c>
      <c r="CF200" s="101">
        <f>IF(AND(CE199&lt;0,CE200&gt;=0,IF($W$73&gt;0,CC200&gt;0,IF($W$73&lt;0,CC199&lt;0,TRUE))),CA200,"")</f>
        <v/>
      </c>
    </row>
    <row r="201">
      <c r="CA201" t="n">
        <v>41</v>
      </c>
      <c r="CB201" s="101">
        <f>$W$71*CA201/200</f>
        <v>12.3</v>
      </c>
      <c r="CC201" s="101">
        <f>$W$72*CB201^2/2-$W$81*SUMPRODUCT(($Z$37:$Z$48&gt;CB201)*($Z$37:$Z$48-CB201))</f>
        <v>-2183.62822412855</v>
      </c>
      <c r="CD201" s="101">
        <f>$W$72*CB201^2/2*($W$71/2-CB201/3)+$W$81*SUMPRODUCT(($Z$37:$Z$48&gt;CB201)*($Z$37:$Z$48-CB201)*($Z$37:$Z$48-$W$71/2))</f>
        <v>170100.620603214</v>
      </c>
      <c r="CE201" s="101">
        <f>$W$76*CC201-$W$73*CD201</f>
        <v>-5148914.99136711</v>
      </c>
      <c r="CF201" s="101">
        <f>IF(AND(CE200&lt;0,CE201&gt;=0,IF($W$73&gt;0,CC201&gt;0,IF($W$73&lt;0,CC200&lt;0,TRUE))),CA201,"")</f>
        <v/>
      </c>
    </row>
    <row r="202">
      <c r="CA202" t="n">
        <v>42</v>
      </c>
      <c r="CB202" s="101">
        <f>$W$71*CA202/200</f>
        <v>12.6</v>
      </c>
      <c r="CC202" s="101">
        <f>$W$72*CB202^2/2-$W$81*SUMPRODUCT(($Z$37:$Z$48&gt;CB202)*($Z$37:$Z$48-CB202))</f>
        <v>-2040.29266283491</v>
      </c>
      <c r="CD202" s="101">
        <f>$W$72*CB202^2/2*($W$71/2-CB202/3)+$W$81*SUMPRODUCT(($Z$37:$Z$48&gt;CB202)*($Z$37:$Z$48-CB202)*($Z$37:$Z$48-$W$71/2))</f>
        <v>171982.436570873</v>
      </c>
      <c r="CE202" s="101">
        <f>$W$76*CC202-$W$73*CD202</f>
        <v>-5071882.86168538</v>
      </c>
      <c r="CF202" s="101">
        <f>IF(AND(CE201&lt;0,CE202&gt;=0,IF($W$73&gt;0,CC202&gt;0,IF($W$73&lt;0,CC201&lt;0,TRUE))),CA202,"")</f>
        <v/>
      </c>
    </row>
    <row r="203">
      <c r="CA203" t="n">
        <v>43</v>
      </c>
      <c r="CB203" s="101">
        <f>$W$71*CA203/200</f>
        <v>12.9</v>
      </c>
      <c r="CC203" s="101">
        <f>$W$72*CB203^2/2-$W$81*SUMPRODUCT(($Z$37:$Z$48&gt;CB203)*($Z$37:$Z$48-CB203))</f>
        <v>-1894.25710154126</v>
      </c>
      <c r="CD203" s="101">
        <f>$W$72*CB203^2/2*($W$71/2-CB203/3)+$W$81*SUMPRODUCT(($Z$37:$Z$48&gt;CB203)*($Z$37:$Z$48-CB203)*($Z$37:$Z$48-$W$71/2))</f>
        <v>173911.232538532</v>
      </c>
      <c r="CE203" s="101">
        <f>$W$76*CC203-$W$73*CD203</f>
        <v>-4993630.33200364</v>
      </c>
      <c r="CF203" s="101">
        <f>IF(AND(CE202&lt;0,CE203&gt;=0,IF($W$73&gt;0,CC203&gt;0,IF($W$73&lt;0,CC202&lt;0,TRUE))),CA203,"")</f>
        <v/>
      </c>
    </row>
    <row r="204">
      <c r="CA204" t="n">
        <v>44</v>
      </c>
      <c r="CB204" s="101">
        <f>$W$71*CA204/200</f>
        <v>13.2</v>
      </c>
      <c r="CC204" s="101">
        <f>$W$72*CB204^2/2-$W$81*SUMPRODUCT(($Z$37:$Z$48&gt;CB204)*($Z$37:$Z$48-CB204))</f>
        <v>-1745.52154024762</v>
      </c>
      <c r="CD204" s="101">
        <f>$W$72*CB204^2/2*($W$71/2-CB204/3)+$W$81*SUMPRODUCT(($Z$37:$Z$48&gt;CB204)*($Z$37:$Z$48-CB204)*($Z$37:$Z$48-$W$71/2))</f>
        <v>175886.19850619</v>
      </c>
      <c r="CE204" s="101">
        <f>$W$76*CC204-$W$73*CD204</f>
        <v>-4914141.2023219</v>
      </c>
      <c r="CF204" s="101">
        <f>IF(AND(CE203&lt;0,CE204&gt;=0,IF($W$73&gt;0,CC204&gt;0,IF($W$73&lt;0,CC203&lt;0,TRUE))),CA204,"")</f>
        <v/>
      </c>
    </row>
    <row r="205">
      <c r="CA205" t="n">
        <v>45</v>
      </c>
      <c r="CB205" s="101">
        <f>$W$71*CA205/200</f>
        <v>13.5</v>
      </c>
      <c r="CC205" s="101">
        <f>$W$72*CB205^2/2-$W$81*SUMPRODUCT(($Z$37:$Z$48&gt;CB205)*($Z$37:$Z$48-CB205))</f>
        <v>-1594.08597895398</v>
      </c>
      <c r="CD205" s="101">
        <f>$W$72*CB205^2/2*($W$71/2-CB205/3)+$W$81*SUMPRODUCT(($Z$37:$Z$48&gt;CB205)*($Z$37:$Z$48-CB205)*($Z$37:$Z$48-$W$71/2))</f>
        <v>177906.524473849</v>
      </c>
      <c r="CE205" s="101">
        <f>$W$76*CC205-$W$73*CD205</f>
        <v>-4833399.27264017</v>
      </c>
      <c r="CF205" s="101">
        <f>IF(AND(CE204&lt;0,CE205&gt;=0,IF($W$73&gt;0,CC205&gt;0,IF($W$73&lt;0,CC204&lt;0,TRUE))),CA205,"")</f>
        <v/>
      </c>
    </row>
    <row r="206">
      <c r="CA206" t="n">
        <v>46</v>
      </c>
      <c r="CB206" s="101">
        <f>$W$71*CA206/200</f>
        <v>13.8</v>
      </c>
      <c r="CC206" s="101">
        <f>$W$72*CB206^2/2-$W$81*SUMPRODUCT(($Z$37:$Z$48&gt;CB206)*($Z$37:$Z$48-CB206))</f>
        <v>-1439.95041766033</v>
      </c>
      <c r="CD206" s="101">
        <f>$W$72*CB206^2/2*($W$71/2-CB206/3)+$W$81*SUMPRODUCT(($Z$37:$Z$48&gt;CB206)*($Z$37:$Z$48-CB206)*($Z$37:$Z$48-$W$71/2))</f>
        <v>179971.400441508</v>
      </c>
      <c r="CE206" s="101">
        <f>$W$76*CC206-$W$73*CD206</f>
        <v>-4751388.34295843</v>
      </c>
      <c r="CF206" s="101">
        <f>IF(AND(CE205&lt;0,CE206&gt;=0,IF($W$73&gt;0,CC206&gt;0,IF($W$73&lt;0,CC205&lt;0,TRUE))),CA206,"")</f>
        <v/>
      </c>
    </row>
    <row r="207">
      <c r="CA207" t="n">
        <v>47</v>
      </c>
      <c r="CB207" s="101">
        <f>$W$71*CA207/200</f>
        <v>14.1</v>
      </c>
      <c r="CC207" s="101">
        <f>$W$72*CB207^2/2-$W$81*SUMPRODUCT(($Z$37:$Z$48&gt;CB207)*($Z$37:$Z$48-CB207))</f>
        <v>-1283.11485636669</v>
      </c>
      <c r="CD207" s="101">
        <f>$W$72*CB207^2/2*($W$71/2-CB207/3)+$W$81*SUMPRODUCT(($Z$37:$Z$48&gt;CB207)*($Z$37:$Z$48-CB207)*($Z$37:$Z$48-$W$71/2))</f>
        <v>182080.016409167</v>
      </c>
      <c r="CE207" s="101">
        <f>$W$76*CC207-$W$73*CD207</f>
        <v>-4668092.2132767</v>
      </c>
      <c r="CF207" s="101">
        <f>IF(AND(CE206&lt;0,CE207&gt;=0,IF($W$73&gt;0,CC207&gt;0,IF($W$73&lt;0,CC206&lt;0,TRUE))),CA207,"")</f>
        <v/>
      </c>
    </row>
    <row r="208">
      <c r="CA208" t="n">
        <v>48</v>
      </c>
      <c r="CB208" s="101">
        <f>$W$71*CA208/200</f>
        <v>14.4</v>
      </c>
      <c r="CC208" s="101">
        <f>$W$72*CB208^2/2-$W$81*SUMPRODUCT(($Z$37:$Z$48&gt;CB208)*($Z$37:$Z$48-CB208))</f>
        <v>-1123.57929507305</v>
      </c>
      <c r="CD208" s="101">
        <f>$W$72*CB208^2/2*($W$71/2-CB208/3)+$W$81*SUMPRODUCT(($Z$37:$Z$48&gt;CB208)*($Z$37:$Z$48-CB208)*($Z$37:$Z$48-$W$71/2))</f>
        <v>184231.562376826</v>
      </c>
      <c r="CE208" s="101">
        <f>$W$76*CC208-$W$73*CD208</f>
        <v>-4583494.68359496</v>
      </c>
      <c r="CF208" s="101">
        <f>IF(AND(CE207&lt;0,CE208&gt;=0,IF($W$73&gt;0,CC208&gt;0,IF($W$73&lt;0,CC207&lt;0,TRUE))),CA208,"")</f>
        <v/>
      </c>
    </row>
    <row r="209">
      <c r="CA209" t="n">
        <v>49</v>
      </c>
      <c r="CB209" s="101">
        <f>$W$71*CA209/200</f>
        <v>14.7</v>
      </c>
      <c r="CC209" s="101">
        <f>$W$72*CB209^2/2-$W$81*SUMPRODUCT(($Z$37:$Z$48&gt;CB209)*($Z$37:$Z$48-CB209))</f>
        <v>-961.343733779403</v>
      </c>
      <c r="CD209" s="101">
        <f>$W$72*CB209^2/2*($W$71/2-CB209/3)+$W$81*SUMPRODUCT(($Z$37:$Z$48&gt;CB209)*($Z$37:$Z$48-CB209)*($Z$37:$Z$48-$W$71/2))</f>
        <v>186425.228344485</v>
      </c>
      <c r="CE209" s="101">
        <f>$W$76*CC209-$W$73*CD209</f>
        <v>-4497579.55391322</v>
      </c>
      <c r="CF209" s="101">
        <f>IF(AND(CE208&lt;0,CE209&gt;=0,IF($W$73&gt;0,CC209&gt;0,IF($W$73&lt;0,CC208&lt;0,TRUE))),CA209,"")</f>
        <v/>
      </c>
    </row>
    <row r="210">
      <c r="CA210" t="n">
        <v>50</v>
      </c>
      <c r="CB210" s="101">
        <f>$W$71*CA210/200</f>
        <v>15.0</v>
      </c>
      <c r="CC210" s="101">
        <f>$W$72*CB210^2/2-$W$81*SUMPRODUCT(($Z$37:$Z$48&gt;CB210)*($Z$37:$Z$48-CB210))</f>
        <v>-796.40817248576</v>
      </c>
      <c r="CD210" s="101">
        <f>$W$72*CB210^2/2*($W$71/2-CB210/3)+$W$81*SUMPRODUCT(($Z$37:$Z$48&gt;CB210)*($Z$37:$Z$48-CB210)*($Z$37:$Z$48-$W$71/2))</f>
        <v>188660.204312144</v>
      </c>
      <c r="CE210" s="101">
        <f>$W$76*CC210-$W$73*CD210</f>
        <v>-4410330.62423149</v>
      </c>
      <c r="CF210" s="101">
        <f>IF(AND(CE209&lt;0,CE210&gt;=0,IF($W$73&gt;0,CC210&gt;0,IF($W$73&lt;0,CC209&lt;0,TRUE))),CA210,"")</f>
        <v/>
      </c>
    </row>
    <row r="211">
      <c r="CA211" t="n">
        <v>51</v>
      </c>
      <c r="CB211" s="101">
        <f>$W$71*CA211/200</f>
        <v>15.3</v>
      </c>
      <c r="CC211" s="101">
        <f>$W$72*CB211^2/2-$W$81*SUMPRODUCT(($Z$37:$Z$48&gt;CB211)*($Z$37:$Z$48-CB211))</f>
        <v>-628.772611192117</v>
      </c>
      <c r="CD211" s="101">
        <f>$W$72*CB211^2/2*($W$71/2-CB211/3)+$W$81*SUMPRODUCT(($Z$37:$Z$48&gt;CB211)*($Z$37:$Z$48-CB211)*($Z$37:$Z$48-$W$71/2))</f>
        <v>190935.680279803</v>
      </c>
      <c r="CE211" s="101">
        <f>$W$76*CC211-$W$73*CD211</f>
        <v>-4321731.69454975</v>
      </c>
      <c r="CF211" s="101">
        <f>IF(AND(CE210&lt;0,CE211&gt;=0,IF($W$73&gt;0,CC211&gt;0,IF($W$73&lt;0,CC210&lt;0,TRUE))),CA211,"")</f>
        <v/>
      </c>
    </row>
    <row r="212">
      <c r="CA212" t="n">
        <v>52</v>
      </c>
      <c r="CB212" s="101">
        <f>$W$71*CA212/200</f>
        <v>15.6</v>
      </c>
      <c r="CC212" s="101">
        <f>$W$72*CB212^2/2-$W$81*SUMPRODUCT(($Z$37:$Z$48&gt;CB212)*($Z$37:$Z$48-CB212))</f>
        <v>-458.437049898474</v>
      </c>
      <c r="CD212" s="101">
        <f>$W$72*CB212^2/2*($W$71/2-CB212/3)+$W$81*SUMPRODUCT(($Z$37:$Z$48&gt;CB212)*($Z$37:$Z$48-CB212)*($Z$37:$Z$48-$W$71/2))</f>
        <v>193250.846247462</v>
      </c>
      <c r="CE212" s="101">
        <f>$W$76*CC212-$W$73*CD212</f>
        <v>-4231766.56486802</v>
      </c>
      <c r="CF212" s="101">
        <f>IF(AND(CE211&lt;0,CE212&gt;=0,IF($W$73&gt;0,CC212&gt;0,IF($W$73&lt;0,CC211&lt;0,TRUE))),CA212,"")</f>
        <v/>
      </c>
    </row>
    <row r="213">
      <c r="CA213" t="n">
        <v>53</v>
      </c>
      <c r="CB213" s="101">
        <f>$W$71*CA213/200</f>
        <v>15.9</v>
      </c>
      <c r="CC213" s="101">
        <f>$W$72*CB213^2/2-$W$81*SUMPRODUCT(($Z$37:$Z$48&gt;CB213)*($Z$37:$Z$48-CB213))</f>
        <v>-285.40148860483</v>
      </c>
      <c r="CD213" s="101">
        <f>$W$72*CB213^2/2*($W$71/2-CB213/3)+$W$81*SUMPRODUCT(($Z$37:$Z$48&gt;CB213)*($Z$37:$Z$48-CB213)*($Z$37:$Z$48-$W$71/2))</f>
        <v>195604.892215121</v>
      </c>
      <c r="CE213" s="101">
        <f>$W$76*CC213-$W$73*CD213</f>
        <v>-4140419.03518628</v>
      </c>
      <c r="CF213" s="101">
        <f>IF(AND(CE212&lt;0,CE213&gt;=0,IF($W$73&gt;0,CC213&gt;0,IF($W$73&lt;0,CC212&lt;0,TRUE))),CA213,"")</f>
        <v/>
      </c>
    </row>
    <row r="214">
      <c r="CA214" t="n">
        <v>54</v>
      </c>
      <c r="CB214" s="101">
        <f>$W$71*CA214/200</f>
        <v>16.2</v>
      </c>
      <c r="CC214" s="101">
        <f>$W$72*CB214^2/2-$W$81*SUMPRODUCT(($Z$37:$Z$48&gt;CB214)*($Z$37:$Z$48-CB214))</f>
        <v>-109.665927311186</v>
      </c>
      <c r="CD214" s="101">
        <f>$W$72*CB214^2/2*($W$71/2-CB214/3)+$W$81*SUMPRODUCT(($Z$37:$Z$48&gt;CB214)*($Z$37:$Z$48-CB214)*($Z$37:$Z$48-$W$71/2))</f>
        <v>197997.00818278</v>
      </c>
      <c r="CE214" s="101">
        <f>$W$76*CC214-$W$73*CD214</f>
        <v>-4047672.90550454</v>
      </c>
      <c r="CF214" s="101">
        <f>IF(AND(CE213&lt;0,CE214&gt;=0,IF($W$73&gt;0,CC214&gt;0,IF($W$73&lt;0,CC213&lt;0,TRUE))),CA214,"")</f>
        <v/>
      </c>
    </row>
    <row r="215">
      <c r="CA215" t="n">
        <v>55</v>
      </c>
      <c r="CB215" s="101">
        <f>$W$71*CA215/200</f>
        <v>16.5</v>
      </c>
      <c r="CC215" s="101">
        <f>$W$72*CB215^2/2-$W$81*SUMPRODUCT(($Z$37:$Z$48&gt;CB215)*($Z$37:$Z$48-CB215))</f>
        <v>68.7696339824565</v>
      </c>
      <c r="CD215" s="101">
        <f>$W$72*CB215^2/2*($W$71/2-CB215/3)+$W$81*SUMPRODUCT(($Z$37:$Z$48&gt;CB215)*($Z$37:$Z$48-CB215)*($Z$37:$Z$48-$W$71/2))</f>
        <v>200426.384150439</v>
      </c>
      <c r="CE215" s="101">
        <f>$W$76*CC215-$W$73*CD215</f>
        <v>-3953511.97582281</v>
      </c>
      <c r="CF215" s="101">
        <f>IF(AND(CE214&lt;0,CE215&gt;=0,IF($W$73&gt;0,CC215&gt;0,IF($W$73&lt;0,CC214&lt;0,TRUE))),CA215,"")</f>
        <v/>
      </c>
    </row>
    <row r="216">
      <c r="CA216" t="n">
        <v>56</v>
      </c>
      <c r="CB216" s="101">
        <f>$W$71*CA216/200</f>
        <v>16.8</v>
      </c>
      <c r="CC216" s="101">
        <f>$W$72*CB216^2/2-$W$81*SUMPRODUCT(($Z$37:$Z$48&gt;CB216)*($Z$37:$Z$48-CB216))</f>
        <v>249.9051952761</v>
      </c>
      <c r="CD216" s="101">
        <f>$W$72*CB216^2/2*($W$71/2-CB216/3)+$W$81*SUMPRODUCT(($Z$37:$Z$48&gt;CB216)*($Z$37:$Z$48-CB216)*($Z$37:$Z$48-$W$71/2))</f>
        <v>202892.210118098</v>
      </c>
      <c r="CE216" s="101">
        <f>$W$76*CC216-$W$73*CD216</f>
        <v>-3857920.04614107</v>
      </c>
      <c r="CF216" s="101">
        <f>IF(AND(CE215&lt;0,CE216&gt;=0,IF($W$73&gt;0,CC216&gt;0,IF($W$73&lt;0,CC215&lt;0,TRUE))),CA216,"")</f>
        <v/>
      </c>
    </row>
    <row r="217">
      <c r="CA217" t="n">
        <v>57</v>
      </c>
      <c r="CB217" s="101">
        <f>$W$71*CA217/200</f>
        <v>17.1</v>
      </c>
      <c r="CC217" s="101">
        <f>$W$72*CB217^2/2-$W$81*SUMPRODUCT(($Z$37:$Z$48&gt;CB217)*($Z$37:$Z$48-CB217))</f>
        <v>433.740756569744</v>
      </c>
      <c r="CD217" s="101">
        <f>$W$72*CB217^2/2*($W$71/2-CB217/3)+$W$81*SUMPRODUCT(($Z$37:$Z$48&gt;CB217)*($Z$37:$Z$48-CB217)*($Z$37:$Z$48-$W$71/2))</f>
        <v>205393.676085756</v>
      </c>
      <c r="CE217" s="101">
        <f>$W$76*CC217-$W$73*CD217</f>
        <v>-3760880.91645933</v>
      </c>
      <c r="CF217" s="101">
        <f>IF(AND(CE216&lt;0,CE217&gt;=0,IF($W$73&gt;0,CC217&gt;0,IF($W$73&lt;0,CC216&lt;0,TRUE))),CA217,"")</f>
        <v/>
      </c>
    </row>
    <row r="218">
      <c r="CA218" t="n">
        <v>58</v>
      </c>
      <c r="CB218" s="101">
        <f>$W$71*CA218/200</f>
        <v>17.4</v>
      </c>
      <c r="CC218" s="101">
        <f>$W$72*CB218^2/2-$W$81*SUMPRODUCT(($Z$37:$Z$48&gt;CB218)*($Z$37:$Z$48-CB218))</f>
        <v>620.276317863385</v>
      </c>
      <c r="CD218" s="101">
        <f>$W$72*CB218^2/2*($W$71/2-CB218/3)+$W$81*SUMPRODUCT(($Z$37:$Z$48&gt;CB218)*($Z$37:$Z$48-CB218)*($Z$37:$Z$48-$W$71/2))</f>
        <v>207929.972053415</v>
      </c>
      <c r="CE218" s="101">
        <f>$W$76*CC218-$W$73*CD218</f>
        <v>-3662378.3867776</v>
      </c>
      <c r="CF218" s="101">
        <f>IF(AND(CE217&lt;0,CE218&gt;=0,IF($W$73&gt;0,CC218&gt;0,IF($W$73&lt;0,CC217&lt;0,TRUE))),CA218,"")</f>
        <v/>
      </c>
    </row>
    <row r="219">
      <c r="CA219" t="n">
        <v>59</v>
      </c>
      <c r="CB219" s="101">
        <f>$W$71*CA219/200</f>
        <v>17.7</v>
      </c>
      <c r="CC219" s="101">
        <f>$W$72*CB219^2/2-$W$81*SUMPRODUCT(($Z$37:$Z$48&gt;CB219)*($Z$37:$Z$48-CB219))</f>
        <v>809.511879157029</v>
      </c>
      <c r="CD219" s="101">
        <f>$W$72*CB219^2/2*($W$71/2-CB219/3)+$W$81*SUMPRODUCT(($Z$37:$Z$48&gt;CB219)*($Z$37:$Z$48-CB219)*($Z$37:$Z$48-$W$71/2))</f>
        <v>210500.288021074</v>
      </c>
      <c r="CE219" s="101">
        <f>$W$76*CC219-$W$73*CD219</f>
        <v>-3562396.25709586</v>
      </c>
      <c r="CF219" s="101">
        <f>IF(AND(CE218&lt;0,CE219&gt;=0,IF($W$73&gt;0,CC219&gt;0,IF($W$73&lt;0,CC218&lt;0,TRUE))),CA219,"")</f>
        <v/>
      </c>
    </row>
    <row r="220">
      <c r="CA220" t="n">
        <v>60</v>
      </c>
      <c r="CB220" s="101">
        <f>$W$71*CA220/200</f>
        <v>18.0</v>
      </c>
      <c r="CC220" s="101">
        <f>$W$72*CB220^2/2-$W$81*SUMPRODUCT(($Z$37:$Z$48&gt;CB220)*($Z$37:$Z$48-CB220))</f>
        <v>1001.44744045067</v>
      </c>
      <c r="CD220" s="101">
        <f>$W$72*CB220^2/2*($W$71/2-CB220/3)+$W$81*SUMPRODUCT(($Z$37:$Z$48&gt;CB220)*($Z$37:$Z$48-CB220)*($Z$37:$Z$48-$W$71/2))</f>
        <v>213103.813988733</v>
      </c>
      <c r="CE220" s="101">
        <f>$W$76*CC220-$W$73*CD220</f>
        <v>-3460918.32741413</v>
      </c>
      <c r="CF220" s="101">
        <f>IF(AND(CE219&lt;0,CE220&gt;=0,IF($W$73&gt;0,CC220&gt;0,IF($W$73&lt;0,CC219&lt;0,TRUE))),CA220,"")</f>
        <v/>
      </c>
    </row>
    <row r="221">
      <c r="CA221" t="n">
        <v>61</v>
      </c>
      <c r="CB221" s="101">
        <f>$W$71*CA221/200</f>
        <v>18.3</v>
      </c>
      <c r="CC221" s="101">
        <f>$W$72*CB221^2/2-$W$81*SUMPRODUCT(($Z$37:$Z$48&gt;CB221)*($Z$37:$Z$48-CB221))</f>
        <v>1196.08300174432</v>
      </c>
      <c r="CD221" s="101">
        <f>$W$72*CB221^2/2*($W$71/2-CB221/3)+$W$81*SUMPRODUCT(($Z$37:$Z$48&gt;CB221)*($Z$37:$Z$48-CB221)*($Z$37:$Z$48-$W$71/2))</f>
        <v>215739.739956392</v>
      </c>
      <c r="CE221" s="101">
        <f>$W$76*CC221-$W$73*CD221</f>
        <v>-3357928.39773239</v>
      </c>
      <c r="CF221" s="101">
        <f>IF(AND(CE220&lt;0,CE221&gt;=0,IF($W$73&gt;0,CC221&gt;0,IF($W$73&lt;0,CC220&lt;0,TRUE))),CA221,"")</f>
        <v/>
      </c>
    </row>
    <row r="222">
      <c r="CA222" t="n">
        <v>62</v>
      </c>
      <c r="CB222" s="101">
        <f>$W$71*CA222/200</f>
        <v>18.6</v>
      </c>
      <c r="CC222" s="101">
        <f>$W$72*CB222^2/2-$W$81*SUMPRODUCT(($Z$37:$Z$48&gt;CB222)*($Z$37:$Z$48-CB222))</f>
        <v>1393.41856303796</v>
      </c>
      <c r="CD222" s="101">
        <f>$W$72*CB222^2/2*($W$71/2-CB222/3)+$W$81*SUMPRODUCT(($Z$37:$Z$48&gt;CB222)*($Z$37:$Z$48-CB222)*($Z$37:$Z$48-$W$71/2))</f>
        <v>218407.255924051</v>
      </c>
      <c r="CE222" s="101">
        <f>$W$76*CC222-$W$73*CD222</f>
        <v>-3253410.26805065</v>
      </c>
      <c r="CF222" s="101">
        <f>IF(AND(CE221&lt;0,CE222&gt;=0,IF($W$73&gt;0,CC222&gt;0,IF($W$73&lt;0,CC221&lt;0,TRUE))),CA222,"")</f>
        <v/>
      </c>
    </row>
    <row r="223">
      <c r="CA223" t="n">
        <v>63</v>
      </c>
      <c r="CB223" s="101">
        <f>$W$71*CA223/200</f>
        <v>18.9</v>
      </c>
      <c r="CC223" s="101">
        <f>$W$72*CB223^2/2-$W$81*SUMPRODUCT(($Z$37:$Z$48&gt;CB223)*($Z$37:$Z$48-CB223))</f>
        <v>1593.4541243316</v>
      </c>
      <c r="CD223" s="101">
        <f>$W$72*CB223^2/2*($W$71/2-CB223/3)+$W$81*SUMPRODUCT(($Z$37:$Z$48&gt;CB223)*($Z$37:$Z$48-CB223)*($Z$37:$Z$48-$W$71/2))</f>
        <v>221105.55189171</v>
      </c>
      <c r="CE223" s="101">
        <f>$W$76*CC223-$W$73*CD223</f>
        <v>-3147347.73836892</v>
      </c>
      <c r="CF223" s="101">
        <f>IF(AND(CE222&lt;0,CE223&gt;=0,IF($W$73&gt;0,CC223&gt;0,IF($W$73&lt;0,CC222&lt;0,TRUE))),CA223,"")</f>
        <v/>
      </c>
    </row>
    <row r="224">
      <c r="CA224" t="n">
        <v>64</v>
      </c>
      <c r="CB224" s="101">
        <f>$W$71*CA224/200</f>
        <v>19.2</v>
      </c>
      <c r="CC224" s="101">
        <f>$W$72*CB224^2/2-$W$81*SUMPRODUCT(($Z$37:$Z$48&gt;CB224)*($Z$37:$Z$48-CB224))</f>
        <v>1796.18968562525</v>
      </c>
      <c r="CD224" s="101">
        <f>$W$72*CB224^2/2*($W$71/2-CB224/3)+$W$81*SUMPRODUCT(($Z$37:$Z$48&gt;CB224)*($Z$37:$Z$48-CB224)*($Z$37:$Z$48-$W$71/2))</f>
        <v>223833.817859369</v>
      </c>
      <c r="CE224" s="101">
        <f>$W$76*CC224-$W$73*CD224</f>
        <v>-3039724.60868718</v>
      </c>
      <c r="CF224" s="101">
        <f>IF(AND(CE223&lt;0,CE224&gt;=0,IF($W$73&gt;0,CC224&gt;0,IF($W$73&lt;0,CC223&lt;0,TRUE))),CA224,"")</f>
        <v/>
      </c>
    </row>
    <row r="225">
      <c r="CA225" t="n">
        <v>65</v>
      </c>
      <c r="CB225" s="101">
        <f>$W$71*CA225/200</f>
        <v>19.5</v>
      </c>
      <c r="CC225" s="101">
        <f>$W$72*CB225^2/2-$W$81*SUMPRODUCT(($Z$37:$Z$48&gt;CB225)*($Z$37:$Z$48-CB225))</f>
        <v>2001.62524691889</v>
      </c>
      <c r="CD225" s="101">
        <f>$W$72*CB225^2/2*($W$71/2-CB225/3)+$W$81*SUMPRODUCT(($Z$37:$Z$48&gt;CB225)*($Z$37:$Z$48-CB225)*($Z$37:$Z$48-$W$71/2))</f>
        <v>226591.243827028</v>
      </c>
      <c r="CE225" s="101">
        <f>$W$76*CC225-$W$73*CD225</f>
        <v>-2930524.67900545</v>
      </c>
      <c r="CF225" s="101">
        <f>IF(AND(CE224&lt;0,CE225&gt;=0,IF($W$73&gt;0,CC225&gt;0,IF($W$73&lt;0,CC224&lt;0,TRUE))),CA225,"")</f>
        <v/>
      </c>
    </row>
    <row r="226">
      <c r="CA226" t="n">
        <v>66</v>
      </c>
      <c r="CB226" s="101">
        <f>$W$71*CA226/200</f>
        <v>19.8</v>
      </c>
      <c r="CC226" s="101">
        <f>$W$72*CB226^2/2-$W$81*SUMPRODUCT(($Z$37:$Z$48&gt;CB226)*($Z$37:$Z$48-CB226))</f>
        <v>2209.76080821253</v>
      </c>
      <c r="CD226" s="101">
        <f>$W$72*CB226^2/2*($W$71/2-CB226/3)+$W$81*SUMPRODUCT(($Z$37:$Z$48&gt;CB226)*($Z$37:$Z$48-CB226)*($Z$37:$Z$48-$W$71/2))</f>
        <v>229377.019794687</v>
      </c>
      <c r="CE226" s="101">
        <f>$W$76*CC226-$W$73*CD226</f>
        <v>-2819731.74932371</v>
      </c>
      <c r="CF226" s="101">
        <f>IF(AND(CE225&lt;0,CE226&gt;=0,IF($W$73&gt;0,CC226&gt;0,IF($W$73&lt;0,CC225&lt;0,TRUE))),CA226,"")</f>
        <v/>
      </c>
    </row>
    <row r="227">
      <c r="CA227" t="n">
        <v>67</v>
      </c>
      <c r="CB227" s="101">
        <f>$W$71*CA227/200</f>
        <v>20.1</v>
      </c>
      <c r="CC227" s="101">
        <f>$W$72*CB227^2/2-$W$81*SUMPRODUCT(($Z$37:$Z$48&gt;CB227)*($Z$37:$Z$48-CB227))</f>
        <v>2420.59636950618</v>
      </c>
      <c r="CD227" s="101">
        <f>$W$72*CB227^2/2*($W$71/2-CB227/3)+$W$81*SUMPRODUCT(($Z$37:$Z$48&gt;CB227)*($Z$37:$Z$48-CB227)*($Z$37:$Z$48-$W$71/2))</f>
        <v>232190.335762346</v>
      </c>
      <c r="CE227" s="101">
        <f>$W$76*CC227-$W$73*CD227</f>
        <v>-2707329.61964197</v>
      </c>
      <c r="CF227" s="101">
        <f>IF(AND(CE226&lt;0,CE227&gt;=0,IF($W$73&gt;0,CC227&gt;0,IF($W$73&lt;0,CC226&lt;0,TRUE))),CA227,"")</f>
        <v/>
      </c>
    </row>
    <row r="228">
      <c r="CA228" t="n">
        <v>68</v>
      </c>
      <c r="CB228" s="101">
        <f>$W$71*CA228/200</f>
        <v>20.4</v>
      </c>
      <c r="CC228" s="101">
        <f>$W$72*CB228^2/2-$W$81*SUMPRODUCT(($Z$37:$Z$48&gt;CB228)*($Z$37:$Z$48-CB228))</f>
        <v>2634.13193079982</v>
      </c>
      <c r="CD228" s="101">
        <f>$W$72*CB228^2/2*($W$71/2-CB228/3)+$W$81*SUMPRODUCT(($Z$37:$Z$48&gt;CB228)*($Z$37:$Z$48-CB228)*($Z$37:$Z$48-$W$71/2))</f>
        <v>235030.381730005</v>
      </c>
      <c r="CE228" s="101">
        <f>$W$76*CC228-$W$73*CD228</f>
        <v>-2593302.08996024</v>
      </c>
      <c r="CF228" s="101">
        <f>IF(AND(CE227&lt;0,CE228&gt;=0,IF($W$73&gt;0,CC228&gt;0,IF($W$73&lt;0,CC227&lt;0,TRUE))),CA228,"")</f>
        <v/>
      </c>
    </row>
    <row r="229">
      <c r="CA229" t="n">
        <v>69</v>
      </c>
      <c r="CB229" s="101">
        <f>$W$71*CA229/200</f>
        <v>20.7</v>
      </c>
      <c r="CC229" s="101">
        <f>$W$72*CB229^2/2-$W$81*SUMPRODUCT(($Z$37:$Z$48&gt;CB229)*($Z$37:$Z$48-CB229))</f>
        <v>2850.36749209346</v>
      </c>
      <c r="CD229" s="101">
        <f>$W$72*CB229^2/2*($W$71/2-CB229/3)+$W$81*SUMPRODUCT(($Z$37:$Z$48&gt;CB229)*($Z$37:$Z$48-CB229)*($Z$37:$Z$48-$W$71/2))</f>
        <v>237896.347697663</v>
      </c>
      <c r="CE229" s="101">
        <f>$W$76*CC229-$W$73*CD229</f>
        <v>-2477632.9602785</v>
      </c>
      <c r="CF229" s="101">
        <f>IF(AND(CE228&lt;0,CE229&gt;=0,IF($W$73&gt;0,CC229&gt;0,IF($W$73&lt;0,CC228&lt;0,TRUE))),CA229,"")</f>
        <v/>
      </c>
    </row>
    <row r="230">
      <c r="CA230" t="n">
        <v>70</v>
      </c>
      <c r="CB230" s="101">
        <f>$W$71*CA230/200</f>
        <v>21.0</v>
      </c>
      <c r="CC230" s="101">
        <f>$W$72*CB230^2/2-$W$81*SUMPRODUCT(($Z$37:$Z$48&gt;CB230)*($Z$37:$Z$48-CB230))</f>
        <v>3069.3030533871</v>
      </c>
      <c r="CD230" s="101">
        <f>$W$72*CB230^2/2*($W$71/2-CB230/3)+$W$81*SUMPRODUCT(($Z$37:$Z$48&gt;CB230)*($Z$37:$Z$48-CB230)*($Z$37:$Z$48-$W$71/2))</f>
        <v>240787.423665322</v>
      </c>
      <c r="CE230" s="101">
        <f>$W$76*CC230-$W$73*CD230</f>
        <v>-2360306.03059676</v>
      </c>
      <c r="CF230" s="101">
        <f>IF(AND(CE229&lt;0,CE230&gt;=0,IF($W$73&gt;0,CC230&gt;0,IF($W$73&lt;0,CC229&lt;0,TRUE))),CA230,"")</f>
        <v/>
      </c>
    </row>
    <row r="231">
      <c r="CA231" t="n">
        <v>71</v>
      </c>
      <c r="CB231" s="101">
        <f>$W$71*CA231/200</f>
        <v>21.3</v>
      </c>
      <c r="CC231" s="101">
        <f>$W$72*CB231^2/2-$W$81*SUMPRODUCT(($Z$37:$Z$48&gt;CB231)*($Z$37:$Z$48-CB231))</f>
        <v>3290.93861468075</v>
      </c>
      <c r="CD231" s="101">
        <f>$W$72*CB231^2/2*($W$71/2-CB231/3)+$W$81*SUMPRODUCT(($Z$37:$Z$48&gt;CB231)*($Z$37:$Z$48-CB231)*($Z$37:$Z$48-$W$71/2))</f>
        <v>243702.799632981</v>
      </c>
      <c r="CE231" s="101">
        <f>$W$76*CC231-$W$73*CD231</f>
        <v>-2241305.10091503</v>
      </c>
      <c r="CF231" s="101">
        <f>IF(AND(CE230&lt;0,CE231&gt;=0,IF($W$73&gt;0,CC231&gt;0,IF($W$73&lt;0,CC230&lt;0,TRUE))),CA231,"")</f>
        <v/>
      </c>
    </row>
    <row r="232">
      <c r="CA232" t="n">
        <v>72</v>
      </c>
      <c r="CB232" s="101">
        <f>$W$71*CA232/200</f>
        <v>21.6</v>
      </c>
      <c r="CC232" s="101">
        <f>$W$72*CB232^2/2-$W$81*SUMPRODUCT(($Z$37:$Z$48&gt;CB232)*($Z$37:$Z$48-CB232))</f>
        <v>3515.27417597439</v>
      </c>
      <c r="CD232" s="101">
        <f>$W$72*CB232^2/2*($W$71/2-CB232/3)+$W$81*SUMPRODUCT(($Z$37:$Z$48&gt;CB232)*($Z$37:$Z$48-CB232)*($Z$37:$Z$48-$W$71/2))</f>
        <v>246641.66560064</v>
      </c>
      <c r="CE232" s="101">
        <f>$W$76*CC232-$W$73*CD232</f>
        <v>-2120613.97123329</v>
      </c>
      <c r="CF232" s="101">
        <f>IF(AND(CE231&lt;0,CE232&gt;=0,IF($W$73&gt;0,CC232&gt;0,IF($W$73&lt;0,CC231&lt;0,TRUE))),CA232,"")</f>
        <v/>
      </c>
    </row>
    <row r="233">
      <c r="CA233" t="n">
        <v>73</v>
      </c>
      <c r="CB233" s="101">
        <f>$W$71*CA233/200</f>
        <v>21.9</v>
      </c>
      <c r="CC233" s="101">
        <f>$W$72*CB233^2/2-$W$81*SUMPRODUCT(($Z$37:$Z$48&gt;CB233)*($Z$37:$Z$48-CB233))</f>
        <v>3742.30973726803</v>
      </c>
      <c r="CD233" s="101">
        <f>$W$72*CB233^2/2*($W$71/2-CB233/3)+$W$81*SUMPRODUCT(($Z$37:$Z$48&gt;CB233)*($Z$37:$Z$48-CB233)*($Z$37:$Z$48-$W$71/2))</f>
        <v>249603.211568299</v>
      </c>
      <c r="CE233" s="101">
        <f>$W$76*CC233-$W$73*CD233</f>
        <v>-1998216.44155156</v>
      </c>
      <c r="CF233" s="101">
        <f>IF(AND(CE232&lt;0,CE233&gt;=0,IF($W$73&gt;0,CC233&gt;0,IF($W$73&lt;0,CC232&lt;0,TRUE))),CA233,"")</f>
        <v/>
      </c>
    </row>
    <row r="234">
      <c r="CA234" t="n">
        <v>74</v>
      </c>
      <c r="CB234" s="101">
        <f>$W$71*CA234/200</f>
        <v>22.2</v>
      </c>
      <c r="CC234" s="101">
        <f>$W$72*CB234^2/2-$W$81*SUMPRODUCT(($Z$37:$Z$48&gt;CB234)*($Z$37:$Z$48-CB234))</f>
        <v>3972.04529856168</v>
      </c>
      <c r="CD234" s="101">
        <f>$W$72*CB234^2/2*($W$71/2-CB234/3)+$W$81*SUMPRODUCT(($Z$37:$Z$48&gt;CB234)*($Z$37:$Z$48-CB234)*($Z$37:$Z$48-$W$71/2))</f>
        <v>252586.627535958</v>
      </c>
      <c r="CE234" s="101">
        <f>$W$76*CC234-$W$73*CD234</f>
        <v>-1874096.31186982</v>
      </c>
      <c r="CF234" s="101">
        <f>IF(AND(CE233&lt;0,CE234&gt;=0,IF($W$73&gt;0,CC234&gt;0,IF($W$73&lt;0,CC233&lt;0,TRUE))),CA234,"")</f>
        <v/>
      </c>
    </row>
    <row r="235">
      <c r="CA235" t="n">
        <v>75</v>
      </c>
      <c r="CB235" s="101">
        <f>$W$71*CA235/200</f>
        <v>22.5</v>
      </c>
      <c r="CC235" s="101">
        <f>$W$72*CB235^2/2-$W$81*SUMPRODUCT(($Z$37:$Z$48&gt;CB235)*($Z$37:$Z$48-CB235))</f>
        <v>4204.48085985532</v>
      </c>
      <c r="CD235" s="101">
        <f>$W$72*CB235^2/2*($W$71/2-CB235/3)+$W$81*SUMPRODUCT(($Z$37:$Z$48&gt;CB235)*($Z$37:$Z$48-CB235)*($Z$37:$Z$48-$W$71/2))</f>
        <v>255591.103503617</v>
      </c>
      <c r="CE235" s="101">
        <f>$W$76*CC235-$W$73*CD235</f>
        <v>-1748237.38218808</v>
      </c>
      <c r="CF235" s="101">
        <f>IF(AND(CE234&lt;0,CE235&gt;=0,IF($W$73&gt;0,CC235&gt;0,IF($W$73&lt;0,CC234&lt;0,TRUE))),CA235,"")</f>
        <v/>
      </c>
    </row>
    <row r="236">
      <c r="CA236" t="n">
        <v>76</v>
      </c>
      <c r="CB236" s="101">
        <f>$W$71*CA236/200</f>
        <v>22.8</v>
      </c>
      <c r="CC236" s="101">
        <f>$W$72*CB236^2/2-$W$81*SUMPRODUCT(($Z$37:$Z$48&gt;CB236)*($Z$37:$Z$48-CB236))</f>
        <v>4439.61642114896</v>
      </c>
      <c r="CD236" s="101">
        <f>$W$72*CB236^2/2*($W$71/2-CB236/3)+$W$81*SUMPRODUCT(($Z$37:$Z$48&gt;CB236)*($Z$37:$Z$48-CB236)*($Z$37:$Z$48-$W$71/2))</f>
        <v>258615.829471276</v>
      </c>
      <c r="CE236" s="101">
        <f>$W$76*CC236-$W$73*CD236</f>
        <v>-1620623.45250635</v>
      </c>
      <c r="CF236" s="101">
        <f>IF(AND(CE235&lt;0,CE236&gt;=0,IF($W$73&gt;0,CC236&gt;0,IF($W$73&lt;0,CC235&lt;0,TRUE))),CA236,"")</f>
        <v/>
      </c>
    </row>
    <row r="237">
      <c r="CA237" t="n">
        <v>77</v>
      </c>
      <c r="CB237" s="101">
        <f>$W$71*CA237/200</f>
        <v>23.1</v>
      </c>
      <c r="CC237" s="101">
        <f>$W$72*CB237^2/2-$W$81*SUMPRODUCT(($Z$37:$Z$48&gt;CB237)*($Z$37:$Z$48-CB237))</f>
        <v>4677.45198244261</v>
      </c>
      <c r="CD237" s="101">
        <f>$W$72*CB237^2/2*($W$71/2-CB237/3)+$W$81*SUMPRODUCT(($Z$37:$Z$48&gt;CB237)*($Z$37:$Z$48-CB237)*($Z$37:$Z$48-$W$71/2))</f>
        <v>261659.995438935</v>
      </c>
      <c r="CE237" s="101">
        <f>$W$76*CC237-$W$73*CD237</f>
        <v>-1491238.32282461</v>
      </c>
      <c r="CF237" s="101">
        <f>IF(AND(CE236&lt;0,CE237&gt;=0,IF($W$73&gt;0,CC237&gt;0,IF($W$73&lt;0,CC236&lt;0,TRUE))),CA237,"")</f>
        <v/>
      </c>
    </row>
    <row r="238">
      <c r="CA238" t="n">
        <v>78</v>
      </c>
      <c r="CB238" s="101">
        <f>$W$71*CA238/200</f>
        <v>23.4</v>
      </c>
      <c r="CC238" s="101">
        <f>$W$72*CB238^2/2-$W$81*SUMPRODUCT(($Z$37:$Z$48&gt;CB238)*($Z$37:$Z$48-CB238))</f>
        <v>4917.98754373625</v>
      </c>
      <c r="CD238" s="101">
        <f>$W$72*CB238^2/2*($W$71/2-CB238/3)+$W$81*SUMPRODUCT(($Z$37:$Z$48&gt;CB238)*($Z$37:$Z$48-CB238)*($Z$37:$Z$48-$W$71/2))</f>
        <v>264722.791406594</v>
      </c>
      <c r="CE238" s="101">
        <f>$W$76*CC238-$W$73*CD238</f>
        <v>-1360065.79314288</v>
      </c>
      <c r="CF238" s="101">
        <f>IF(AND(CE237&lt;0,CE238&gt;=0,IF($W$73&gt;0,CC238&gt;0,IF($W$73&lt;0,CC237&lt;0,TRUE))),CA238,"")</f>
        <v/>
      </c>
    </row>
    <row r="239">
      <c r="CA239" t="n">
        <v>79</v>
      </c>
      <c r="CB239" s="101">
        <f>$W$71*CA239/200</f>
        <v>23.7</v>
      </c>
      <c r="CC239" s="101">
        <f>$W$72*CB239^2/2-$W$81*SUMPRODUCT(($Z$37:$Z$48&gt;CB239)*($Z$37:$Z$48-CB239))</f>
        <v>5161.22310502989</v>
      </c>
      <c r="CD239" s="101">
        <f>$W$72*CB239^2/2*($W$71/2-CB239/3)+$W$81*SUMPRODUCT(($Z$37:$Z$48&gt;CB239)*($Z$37:$Z$48-CB239)*($Z$37:$Z$48-$W$71/2))</f>
        <v>267803.407374253</v>
      </c>
      <c r="CE239" s="101">
        <f>$W$76*CC239-$W$73*CD239</f>
        <v>-1227089.66346114</v>
      </c>
      <c r="CF239" s="101">
        <f>IF(AND(CE238&lt;0,CE239&gt;=0,IF($W$73&gt;0,CC239&gt;0,IF($W$73&lt;0,CC238&lt;0,TRUE))),CA239,"")</f>
        <v/>
      </c>
    </row>
    <row r="240">
      <c r="CA240" t="n">
        <v>80</v>
      </c>
      <c r="CB240" s="101">
        <f>$W$71*CA240/200</f>
        <v>24.0</v>
      </c>
      <c r="CC240" s="101">
        <f>$W$72*CB240^2/2-$W$81*SUMPRODUCT(($Z$37:$Z$48&gt;CB240)*($Z$37:$Z$48-CB240))</f>
        <v>5407.15866632354</v>
      </c>
      <c r="CD240" s="101">
        <f>$W$72*CB240^2/2*($W$71/2-CB240/3)+$W$81*SUMPRODUCT(($Z$37:$Z$48&gt;CB240)*($Z$37:$Z$48-CB240)*($Z$37:$Z$48-$W$71/2))</f>
        <v>270901.033341912</v>
      </c>
      <c r="CE240" s="101">
        <f>$W$76*CC240-$W$73*CD240</f>
        <v>-1092293.7337794</v>
      </c>
      <c r="CF240" s="101">
        <f>IF(AND(CE239&lt;0,CE240&gt;=0,IF($W$73&gt;0,CC240&gt;0,IF($W$73&lt;0,CC239&lt;0,TRUE))),CA240,"")</f>
        <v/>
      </c>
    </row>
    <row r="241">
      <c r="CA241" t="n">
        <v>81</v>
      </c>
      <c r="CB241" s="101">
        <f>$W$71*CA241/200</f>
        <v>24.3</v>
      </c>
      <c r="CC241" s="101">
        <f>$W$72*CB241^2/2-$W$81*SUMPRODUCT(($Z$37:$Z$48&gt;CB241)*($Z$37:$Z$48-CB241))</f>
        <v>5655.79422761718</v>
      </c>
      <c r="CD241" s="101">
        <f>$W$72*CB241^2/2*($W$71/2-CB241/3)+$W$81*SUMPRODUCT(($Z$37:$Z$48&gt;CB241)*($Z$37:$Z$48-CB241)*($Z$37:$Z$48-$W$71/2))</f>
        <v>274014.859309571</v>
      </c>
      <c r="CE241" s="101">
        <f>$W$76*CC241-$W$73*CD241</f>
        <v>-955661.804097666</v>
      </c>
      <c r="CF241" s="101">
        <f>IF(AND(CE240&lt;0,CE241&gt;=0,IF($W$73&gt;0,CC241&gt;0,IF($W$73&lt;0,CC240&lt;0,TRUE))),CA241,"")</f>
        <v/>
      </c>
    </row>
    <row r="242">
      <c r="CA242" t="n">
        <v>82</v>
      </c>
      <c r="CB242" s="101">
        <f>$W$71*CA242/200</f>
        <v>24.6</v>
      </c>
      <c r="CC242" s="101">
        <f>$W$72*CB242^2/2-$W$81*SUMPRODUCT(($Z$37:$Z$48&gt;CB242)*($Z$37:$Z$48-CB242))</f>
        <v>5907.12978891083</v>
      </c>
      <c r="CD242" s="101">
        <f>$W$72*CB242^2/2*($W$71/2-CB242/3)+$W$81*SUMPRODUCT(($Z$37:$Z$48&gt;CB242)*($Z$37:$Z$48-CB242)*($Z$37:$Z$48-$W$71/2))</f>
        <v>277144.075277229</v>
      </c>
      <c r="CE242" s="101">
        <f>$W$76*CC242-$W$73*CD242</f>
        <v>-817177.674415928</v>
      </c>
      <c r="CF242" s="101">
        <f>IF(AND(CE241&lt;0,CE242&gt;=0,IF($W$73&gt;0,CC242&gt;0,IF($W$73&lt;0,CC241&lt;0,TRUE))),CA242,"")</f>
        <v/>
      </c>
    </row>
    <row r="243">
      <c r="CA243" t="n">
        <v>83</v>
      </c>
      <c r="CB243" s="101">
        <f>$W$71*CA243/200</f>
        <v>24.9</v>
      </c>
      <c r="CC243" s="101">
        <f>$W$72*CB243^2/2-$W$81*SUMPRODUCT(($Z$37:$Z$48&gt;CB243)*($Z$37:$Z$48-CB243))</f>
        <v>6161.16535020446</v>
      </c>
      <c r="CD243" s="101">
        <f>$W$72*CB243^2/2*($W$71/2-CB243/3)+$W$81*SUMPRODUCT(($Z$37:$Z$48&gt;CB243)*($Z$37:$Z$48-CB243)*($Z$37:$Z$48-$W$71/2))</f>
        <v>280287.871244888</v>
      </c>
      <c r="CE243" s="101">
        <f>$W$76*CC243-$W$73*CD243</f>
        <v>-676825.144734195</v>
      </c>
      <c r="CF243" s="101">
        <f>IF(AND(CE242&lt;0,CE243&gt;=0,IF($W$73&gt;0,CC243&gt;0,IF($W$73&lt;0,CC242&lt;0,TRUE))),CA243,"")</f>
        <v/>
      </c>
    </row>
    <row r="244">
      <c r="CA244" t="n">
        <v>84</v>
      </c>
      <c r="CB244" s="101">
        <f>$W$71*CA244/200</f>
        <v>25.2</v>
      </c>
      <c r="CC244" s="101">
        <f>$W$72*CB244^2/2-$W$81*SUMPRODUCT(($Z$37:$Z$48&gt;CB244)*($Z$37:$Z$48-CB244))</f>
        <v>6417.90091149811</v>
      </c>
      <c r="CD244" s="101">
        <f>$W$72*CB244^2/2*($W$71/2-CB244/3)+$W$81*SUMPRODUCT(($Z$37:$Z$48&gt;CB244)*($Z$37:$Z$48-CB244)*($Z$37:$Z$48-$W$71/2))</f>
        <v>283445.437212547</v>
      </c>
      <c r="CE244" s="101">
        <f>$W$76*CC244-$W$73*CD244</f>
        <v>-534588.01505246</v>
      </c>
      <c r="CF244" s="101">
        <f>IF(AND(CE243&lt;0,CE244&gt;=0,IF($W$73&gt;0,CC244&gt;0,IF($W$73&lt;0,CC243&lt;0,TRUE))),CA244,"")</f>
        <v/>
      </c>
    </row>
    <row r="245">
      <c r="CA245" t="n">
        <v>85</v>
      </c>
      <c r="CB245" s="101">
        <f>$W$71*CA245/200</f>
        <v>25.5</v>
      </c>
      <c r="CC245" s="101">
        <f>$W$72*CB245^2/2-$W$81*SUMPRODUCT(($Z$37:$Z$48&gt;CB245)*($Z$37:$Z$48-CB245))</f>
        <v>6677.33647279175</v>
      </c>
      <c r="CD245" s="101">
        <f>$W$72*CB245^2/2*($W$71/2-CB245/3)+$W$81*SUMPRODUCT(($Z$37:$Z$48&gt;CB245)*($Z$37:$Z$48-CB245)*($Z$37:$Z$48-$W$71/2))</f>
        <v>286615.963180206</v>
      </c>
      <c r="CE245" s="101">
        <f>$W$76*CC245-$W$73*CD245</f>
        <v>-390450.085370722</v>
      </c>
      <c r="CF245" s="101">
        <f>IF(AND(CE244&lt;0,CE245&gt;=0,IF($W$73&gt;0,CC245&gt;0,IF($W$73&lt;0,CC244&lt;0,TRUE))),CA245,"")</f>
        <v/>
      </c>
    </row>
    <row r="246">
      <c r="CA246" t="n">
        <v>86</v>
      </c>
      <c r="CB246" s="101">
        <f>$W$71*CA246/200</f>
        <v>25.8</v>
      </c>
      <c r="CC246" s="101">
        <f>$W$72*CB246^2/2-$W$81*SUMPRODUCT(($Z$37:$Z$48&gt;CB246)*($Z$37:$Z$48-CB246))</f>
        <v>6939.4720340854</v>
      </c>
      <c r="CD246" s="101">
        <f>$W$72*CB246^2/2*($W$71/2-CB246/3)+$W$81*SUMPRODUCT(($Z$37:$Z$48&gt;CB246)*($Z$37:$Z$48-CB246)*($Z$37:$Z$48-$W$71/2))</f>
        <v>289798.639147865</v>
      </c>
      <c r="CE246" s="101">
        <f>$W$76*CC246-$W$73*CD246</f>
        <v>-244395.155688985</v>
      </c>
      <c r="CF246" s="101">
        <f>IF(AND(CE245&lt;0,CE246&gt;=0,IF($W$73&gt;0,CC246&gt;0,IF($W$73&lt;0,CC245&lt;0,TRUE))),CA246,"")</f>
        <v/>
      </c>
    </row>
    <row r="247">
      <c r="CA247" t="n">
        <v>87</v>
      </c>
      <c r="CB247" s="101">
        <f>$W$71*CA247/200</f>
        <v>26.1</v>
      </c>
      <c r="CC247" s="101">
        <f>$W$72*CB247^2/2-$W$81*SUMPRODUCT(($Z$37:$Z$48&gt;CB247)*($Z$37:$Z$48-CB247))</f>
        <v>7204.30759537904</v>
      </c>
      <c r="CD247" s="101">
        <f>$W$72*CB247^2/2*($W$71/2-CB247/3)+$W$81*SUMPRODUCT(($Z$37:$Z$48&gt;CB247)*($Z$37:$Z$48-CB247)*($Z$37:$Z$48-$W$71/2))</f>
        <v>292992.655115524</v>
      </c>
      <c r="CE247" s="101">
        <f>$W$76*CC247-$W$73*CD247</f>
        <v>-96407.0260072481</v>
      </c>
      <c r="CF247" s="101">
        <f>IF(AND(CE246&lt;0,CE247&gt;=0,IF($W$73&gt;0,CC247&gt;0,IF($W$73&lt;0,CC246&lt;0,TRUE))),CA247,"")</f>
        <v/>
      </c>
    </row>
    <row r="248">
      <c r="CA248" t="n">
        <v>88</v>
      </c>
      <c r="CB248" s="101">
        <f>$W$71*CA248/200</f>
        <v>26.4</v>
      </c>
      <c r="CC248" s="101">
        <f>$W$72*CB248^2/2-$W$81*SUMPRODUCT(($Z$37:$Z$48&gt;CB248)*($Z$37:$Z$48-CB248))</f>
        <v>7471.84315667268</v>
      </c>
      <c r="CD248" s="101">
        <f>$W$72*CB248^2/2*($W$71/2-CB248/3)+$W$81*SUMPRODUCT(($Z$37:$Z$48&gt;CB248)*($Z$37:$Z$48-CB248)*($Z$37:$Z$48-$W$71/2))</f>
        <v>296197.201083183</v>
      </c>
      <c r="CE248" s="101">
        <f>$W$76*CC248-$W$73*CD248</f>
        <v>53530.5036744848</v>
      </c>
      <c r="CF248" s="101">
        <f>IF(AND(CE247&lt;0,CE248&gt;=0,IF($W$73&gt;0,CC248&gt;0,IF($W$73&lt;0,CC247&lt;0,TRUE))),CA248,"")</f>
        <v>88.0</v>
      </c>
    </row>
    <row r="249">
      <c r="CA249" t="n">
        <v>89</v>
      </c>
      <c r="CB249" s="101">
        <f>$W$71*CA249/200</f>
        <v>26.7</v>
      </c>
      <c r="CC249" s="101">
        <f>$W$72*CB249^2/2-$W$81*SUMPRODUCT(($Z$37:$Z$48&gt;CB249)*($Z$37:$Z$48-CB249))</f>
        <v>7742.07871796633</v>
      </c>
      <c r="CD249" s="101">
        <f>$W$72*CB249^2/2*($W$71/2-CB249/3)+$W$81*SUMPRODUCT(($Z$37:$Z$48&gt;CB249)*($Z$37:$Z$48-CB249)*($Z$37:$Z$48-$W$71/2))</f>
        <v>299411.467050842</v>
      </c>
      <c r="CE249" s="101">
        <f>$W$76*CC249-$W$73*CD249</f>
        <v>205433.633356222</v>
      </c>
      <c r="CF249" s="101">
        <f>IF(AND(CE248&lt;0,CE249&gt;=0,IF($W$73&gt;0,CC249&gt;0,IF($W$73&lt;0,CC248&lt;0,TRUE))),CA249,"")</f>
        <v/>
      </c>
    </row>
    <row r="250">
      <c r="CA250" t="n">
        <v>90</v>
      </c>
      <c r="CB250" s="101">
        <f>$W$71*CA250/200</f>
        <v>27.0</v>
      </c>
      <c r="CC250" s="101">
        <f>$W$72*CB250^2/2-$W$81*SUMPRODUCT(($Z$37:$Z$48&gt;CB250)*($Z$37:$Z$48-CB250))</f>
        <v>8015.01427925997</v>
      </c>
      <c r="CD250" s="101">
        <f>$W$72*CB250^2/2*($W$71/2-CB250/3)+$W$81*SUMPRODUCT(($Z$37:$Z$48&gt;CB250)*($Z$37:$Z$48-CB250)*($Z$37:$Z$48-$W$71/2))</f>
        <v>302634.643018501</v>
      </c>
      <c r="CE250" s="101">
        <f>$W$76*CC250-$W$73*CD250</f>
        <v>359318.563037959</v>
      </c>
      <c r="CF250" s="101">
        <f>IF(AND(CE249&lt;0,CE250&gt;=0,IF($W$73&gt;0,CC250&gt;0,IF($W$73&lt;0,CC249&lt;0,TRUE))),CA250,"")</f>
        <v/>
      </c>
    </row>
    <row r="251">
      <c r="CA251" t="n">
        <v>91</v>
      </c>
      <c r="CB251" s="101">
        <f>$W$71*CA251/200</f>
        <v>27.3</v>
      </c>
      <c r="CC251" s="101">
        <f>$W$72*CB251^2/2-$W$81*SUMPRODUCT(($Z$37:$Z$48&gt;CB251)*($Z$37:$Z$48-CB251))</f>
        <v>8290.64984055361</v>
      </c>
      <c r="CD251" s="101">
        <f>$W$72*CB251^2/2*($W$71/2-CB251/3)+$W$81*SUMPRODUCT(($Z$37:$Z$48&gt;CB251)*($Z$37:$Z$48-CB251)*($Z$37:$Z$48-$W$71/2))</f>
        <v>305865.91898616</v>
      </c>
      <c r="CE251" s="101">
        <f>$W$76*CC251-$W$73*CD251</f>
        <v>515201.492719694</v>
      </c>
      <c r="CF251" s="101">
        <f>IF(AND(CE250&lt;0,CE251&gt;=0,IF($W$73&gt;0,CC251&gt;0,IF($W$73&lt;0,CC250&lt;0,TRUE))),CA251,"")</f>
        <v/>
      </c>
    </row>
    <row r="252">
      <c r="CA252" t="n">
        <v>92</v>
      </c>
      <c r="CB252" s="101">
        <f>$W$71*CA252/200</f>
        <v>27.6</v>
      </c>
      <c r="CC252" s="101">
        <f>$W$72*CB252^2/2-$W$81*SUMPRODUCT(($Z$37:$Z$48&gt;CB252)*($Z$37:$Z$48-CB252))</f>
        <v>8568.98540184726</v>
      </c>
      <c r="CD252" s="101">
        <f>$W$72*CB252^2/2*($W$71/2-CB252/3)+$W$81*SUMPRODUCT(($Z$37:$Z$48&gt;CB252)*($Z$37:$Z$48-CB252)*($Z$37:$Z$48-$W$71/2))</f>
        <v>309104.484953819</v>
      </c>
      <c r="CE252" s="101">
        <f>$W$76*CC252-$W$73*CD252</f>
        <v>673098.622401433</v>
      </c>
      <c r="CF252" s="101">
        <f>IF(AND(CE251&lt;0,CE252&gt;=0,IF($W$73&gt;0,CC252&gt;0,IF($W$73&lt;0,CC251&lt;0,TRUE))),CA252,"")</f>
        <v/>
      </c>
    </row>
    <row r="253">
      <c r="CA253" t="n">
        <v>93</v>
      </c>
      <c r="CB253" s="101">
        <f>$W$71*CA253/200</f>
        <v>27.9</v>
      </c>
      <c r="CC253" s="101">
        <f>$W$72*CB253^2/2-$W$81*SUMPRODUCT(($Z$37:$Z$48&gt;CB253)*($Z$37:$Z$48-CB253))</f>
        <v>8850.0209631409</v>
      </c>
      <c r="CD253" s="101">
        <f>$W$72*CB253^2/2*($W$71/2-CB253/3)+$W$81*SUMPRODUCT(($Z$37:$Z$48&gt;CB253)*($Z$37:$Z$48-CB253)*($Z$37:$Z$48-$W$71/2))</f>
        <v>312349.530921478</v>
      </c>
      <c r="CE253" s="101">
        <f>$W$76*CC253-$W$73*CD253</f>
        <v>833026.152083167</v>
      </c>
      <c r="CF253" s="101">
        <f>IF(AND(CE252&lt;0,CE253&gt;=0,IF($W$73&gt;0,CC253&gt;0,IF($W$73&lt;0,CC252&lt;0,TRUE))),CA253,"")</f>
        <v/>
      </c>
    </row>
    <row r="254">
      <c r="CA254" t="n">
        <v>94</v>
      </c>
      <c r="CB254" s="101">
        <f>$W$71*CA254/200</f>
        <v>28.2</v>
      </c>
      <c r="CC254" s="101">
        <f>$W$72*CB254^2/2-$W$81*SUMPRODUCT(($Z$37:$Z$48&gt;CB254)*($Z$37:$Z$48-CB254))</f>
        <v>9133.75652443454</v>
      </c>
      <c r="CD254" s="101">
        <f>$W$72*CB254^2/2*($W$71/2-CB254/3)+$W$81*SUMPRODUCT(($Z$37:$Z$48&gt;CB254)*($Z$37:$Z$48-CB254)*($Z$37:$Z$48-$W$71/2))</f>
        <v>315600.246889137</v>
      </c>
      <c r="CE254" s="101">
        <f>$W$76*CC254-$W$73*CD254</f>
        <v>995000.281764904</v>
      </c>
      <c r="CF254" s="101">
        <f>IF(AND(CE253&lt;0,CE254&gt;=0,IF($W$73&gt;0,CC254&gt;0,IF($W$73&lt;0,CC253&lt;0,TRUE))),CA254,"")</f>
        <v/>
      </c>
    </row>
    <row r="255">
      <c r="CA255" t="n">
        <v>95</v>
      </c>
      <c r="CB255" s="101">
        <f>$W$71*CA255/200</f>
        <v>28.5</v>
      </c>
      <c r="CC255" s="101">
        <f>$W$72*CB255^2/2-$W$81*SUMPRODUCT(($Z$37:$Z$48&gt;CB255)*($Z$37:$Z$48-CB255))</f>
        <v>9420.19208572818</v>
      </c>
      <c r="CD255" s="101">
        <f>$W$72*CB255^2/2*($W$71/2-CB255/3)+$W$81*SUMPRODUCT(($Z$37:$Z$48&gt;CB255)*($Z$37:$Z$48-CB255)*($Z$37:$Z$48-$W$71/2))</f>
        <v>318855.822856795</v>
      </c>
      <c r="CE255" s="101">
        <f>$W$76*CC255-$W$73*CD255</f>
        <v>1159037.21144664</v>
      </c>
      <c r="CF255" s="101">
        <f>IF(AND(CE254&lt;0,CE255&gt;=0,IF($W$73&gt;0,CC255&gt;0,IF($W$73&lt;0,CC254&lt;0,TRUE))),CA255,"")</f>
        <v/>
      </c>
    </row>
    <row r="256">
      <c r="CA256" t="n">
        <v>96</v>
      </c>
      <c r="CB256" s="101">
        <f>$W$71*CA256/200</f>
        <v>28.8</v>
      </c>
      <c r="CC256" s="101">
        <f>$W$72*CB256^2/2-$W$81*SUMPRODUCT(($Z$37:$Z$48&gt;CB256)*($Z$37:$Z$48-CB256))</f>
        <v>9709.32764702183</v>
      </c>
      <c r="CD256" s="101">
        <f>$W$72*CB256^2/2*($W$71/2-CB256/3)+$W$81*SUMPRODUCT(($Z$37:$Z$48&gt;CB256)*($Z$37:$Z$48-CB256)*($Z$37:$Z$48-$W$71/2))</f>
        <v>322115.448824454</v>
      </c>
      <c r="CE256" s="101">
        <f>$W$76*CC256-$W$73*CD256</f>
        <v>1325153.14112838</v>
      </c>
      <c r="CF256" s="101">
        <f>IF(AND(CE255&lt;0,CE256&gt;=0,IF($W$73&gt;0,CC256&gt;0,IF($W$73&lt;0,CC255&lt;0,TRUE))),CA256,"")</f>
        <v/>
      </c>
    </row>
    <row r="257">
      <c r="CA257" t="n">
        <v>97</v>
      </c>
      <c r="CB257" s="101">
        <f>$W$71*CA257/200</f>
        <v>29.1</v>
      </c>
      <c r="CC257" s="101">
        <f>$W$72*CB257^2/2-$W$81*SUMPRODUCT(($Z$37:$Z$48&gt;CB257)*($Z$37:$Z$48-CB257))</f>
        <v>10001.1632083155</v>
      </c>
      <c r="CD257" s="101">
        <f>$W$72*CB257^2/2*($W$71/2-CB257/3)+$W$81*SUMPRODUCT(($Z$37:$Z$48&gt;CB257)*($Z$37:$Z$48-CB257)*($Z$37:$Z$48-$W$71/2))</f>
        <v>325378.314792113</v>
      </c>
      <c r="CE257" s="101">
        <f>$W$76*CC257-$W$73*CD257</f>
        <v>1493364.27081011</v>
      </c>
      <c r="CF257" s="101">
        <f>IF(AND(CE256&lt;0,CE257&gt;=0,IF($W$73&gt;0,CC257&gt;0,IF($W$73&lt;0,CC256&lt;0,TRUE))),CA257,"")</f>
        <v/>
      </c>
    </row>
    <row r="258">
      <c r="CA258" t="n">
        <v>98</v>
      </c>
      <c r="CB258" s="101">
        <f>$W$71*CA258/200</f>
        <v>29.4</v>
      </c>
      <c r="CC258" s="101">
        <f>$W$72*CB258^2/2-$W$81*SUMPRODUCT(($Z$37:$Z$48&gt;CB258)*($Z$37:$Z$48-CB258))</f>
        <v>10295.6987696091</v>
      </c>
      <c r="CD258" s="101">
        <f>$W$72*CB258^2/2*($W$71/2-CB258/3)+$W$81*SUMPRODUCT(($Z$37:$Z$48&gt;CB258)*($Z$37:$Z$48-CB258)*($Z$37:$Z$48-$W$71/2))</f>
        <v>328643.610759772</v>
      </c>
      <c r="CE258" s="101">
        <f>$W$76*CC258-$W$73*CD258</f>
        <v>1663686.80049185</v>
      </c>
      <c r="CF258" s="101">
        <f>IF(AND(CE257&lt;0,CE258&gt;=0,IF($W$73&gt;0,CC258&gt;0,IF($W$73&lt;0,CC257&lt;0,TRUE))),CA258,"")</f>
        <v/>
      </c>
    </row>
    <row r="259">
      <c r="CA259" t="n">
        <v>99</v>
      </c>
      <c r="CB259" s="101">
        <f>$W$71*CA259/200</f>
        <v>29.7</v>
      </c>
      <c r="CC259" s="101">
        <f>$W$72*CB259^2/2-$W$81*SUMPRODUCT(($Z$37:$Z$48&gt;CB259)*($Z$37:$Z$48-CB259))</f>
        <v>10592.9343309028</v>
      </c>
      <c r="CD259" s="101">
        <f>$W$72*CB259^2/2*($W$71/2-CB259/3)+$W$81*SUMPRODUCT(($Z$37:$Z$48&gt;CB259)*($Z$37:$Z$48-CB259)*($Z$37:$Z$48-$W$71/2))</f>
        <v>331910.526727431</v>
      </c>
      <c r="CE259" s="101">
        <f>$W$76*CC259-$W$73*CD259</f>
        <v>1836136.93017358</v>
      </c>
      <c r="CF259" s="101">
        <f>IF(AND(CE258&lt;0,CE259&gt;=0,IF($W$73&gt;0,CC259&gt;0,IF($W$73&lt;0,CC258&lt;0,TRUE))),CA259,"")</f>
        <v/>
      </c>
    </row>
    <row r="260">
      <c r="CA260" t="n">
        <v>100</v>
      </c>
      <c r="CB260" s="101">
        <f>$W$71*CA260/200</f>
        <v>30.0</v>
      </c>
      <c r="CC260" s="101">
        <f>$W$72*CB260^2/2-$W$81*SUMPRODUCT(($Z$37:$Z$48&gt;CB260)*($Z$37:$Z$48-CB260))</f>
        <v>10892.8698921964</v>
      </c>
      <c r="CD260" s="101">
        <f>$W$72*CB260^2/2*($W$71/2-CB260/3)+$W$81*SUMPRODUCT(($Z$37:$Z$48&gt;CB260)*($Z$37:$Z$48-CB260)*($Z$37:$Z$48-$W$71/2))</f>
        <v>335178.25269509</v>
      </c>
      <c r="CE260" s="101">
        <f>$W$76*CC260-$W$73*CD260</f>
        <v>2010730.85985532</v>
      </c>
      <c r="CF260" s="101">
        <f>IF(AND(CE259&lt;0,CE260&gt;=0,IF($W$73&gt;0,CC260&gt;0,IF($W$73&lt;0,CC259&lt;0,TRUE))),CA260,"")</f>
        <v/>
      </c>
    </row>
    <row r="261">
      <c r="CA261" t="n">
        <v>101</v>
      </c>
      <c r="CB261" s="101">
        <f>$W$71*CA261/200</f>
        <v>30.3</v>
      </c>
      <c r="CC261" s="101">
        <f>$W$72*CB261^2/2-$W$81*SUMPRODUCT(($Z$37:$Z$48&gt;CB261)*($Z$37:$Z$48-CB261))</f>
        <v>11195.50545349</v>
      </c>
      <c r="CD261" s="101">
        <f>$W$72*CB261^2/2*($W$71/2-CB261/3)+$W$81*SUMPRODUCT(($Z$37:$Z$48&gt;CB261)*($Z$37:$Z$48-CB261)*($Z$37:$Z$48-$W$71/2))</f>
        <v>338445.978662749</v>
      </c>
      <c r="CE261" s="101">
        <f>$W$76*CC261-$W$73*CD261</f>
        <v>2187484.78953706</v>
      </c>
      <c r="CF261" s="101">
        <f>IF(AND(CE260&lt;0,CE261&gt;=0,IF($W$73&gt;0,CC261&gt;0,IF($W$73&lt;0,CC260&lt;0,TRUE))),CA261,"")</f>
        <v/>
      </c>
    </row>
    <row r="262">
      <c r="CA262" t="n">
        <v>102</v>
      </c>
      <c r="CB262" s="101">
        <f>$W$71*CA262/200</f>
        <v>30.6</v>
      </c>
      <c r="CC262" s="101">
        <f>$W$72*CB262^2/2-$W$81*SUMPRODUCT(($Z$37:$Z$48&gt;CB262)*($Z$37:$Z$48-CB262))</f>
        <v>11500.8410147837</v>
      </c>
      <c r="CD262" s="101">
        <f>$W$72*CB262^2/2*($W$71/2-CB262/3)+$W$81*SUMPRODUCT(($Z$37:$Z$48&gt;CB262)*($Z$37:$Z$48-CB262)*($Z$37:$Z$48-$W$71/2))</f>
        <v>341712.894630408</v>
      </c>
      <c r="CE262" s="101">
        <f>$W$76*CC262-$W$73*CD262</f>
        <v>2366414.91921879</v>
      </c>
      <c r="CF262" s="101">
        <f>IF(AND(CE261&lt;0,CE262&gt;=0,IF($W$73&gt;0,CC262&gt;0,IF($W$73&lt;0,CC261&lt;0,TRUE))),CA262,"")</f>
        <v/>
      </c>
    </row>
    <row r="263">
      <c r="CA263" t="n">
        <v>103</v>
      </c>
      <c r="CB263" s="101">
        <f>$W$71*CA263/200</f>
        <v>30.9</v>
      </c>
      <c r="CC263" s="101">
        <f>$W$72*CB263^2/2-$W$81*SUMPRODUCT(($Z$37:$Z$48&gt;CB263)*($Z$37:$Z$48-CB263))</f>
        <v>11808.8765760773</v>
      </c>
      <c r="CD263" s="101">
        <f>$W$72*CB263^2/2*($W$71/2-CB263/3)+$W$81*SUMPRODUCT(($Z$37:$Z$48&gt;CB263)*($Z$37:$Z$48-CB263)*($Z$37:$Z$48-$W$71/2))</f>
        <v>344978.190598067</v>
      </c>
      <c r="CE263" s="101">
        <f>$W$76*CC263-$W$73*CD263</f>
        <v>2547537.44890053</v>
      </c>
      <c r="CF263" s="101">
        <f>IF(AND(CE262&lt;0,CE263&gt;=0,IF($W$73&gt;0,CC263&gt;0,IF($W$73&lt;0,CC262&lt;0,TRUE))),CA263,"")</f>
        <v/>
      </c>
    </row>
    <row r="264">
      <c r="CA264" t="n">
        <v>104</v>
      </c>
      <c r="CB264" s="101">
        <f>$W$71*CA264/200</f>
        <v>31.2</v>
      </c>
      <c r="CC264" s="101">
        <f>$W$72*CB264^2/2-$W$81*SUMPRODUCT(($Z$37:$Z$48&gt;CB264)*($Z$37:$Z$48-CB264))</f>
        <v>12119.612137371</v>
      </c>
      <c r="CD264" s="101">
        <f>$W$72*CB264^2/2*($W$71/2-CB264/3)+$W$81*SUMPRODUCT(($Z$37:$Z$48&gt;CB264)*($Z$37:$Z$48-CB264)*($Z$37:$Z$48-$W$71/2))</f>
        <v>348241.056565726</v>
      </c>
      <c r="CE264" s="101">
        <f>$W$76*CC264-$W$73*CD264</f>
        <v>2730868.57858226</v>
      </c>
      <c r="CF264" s="101">
        <f>IF(AND(CE263&lt;0,CE264&gt;=0,IF($W$73&gt;0,CC264&gt;0,IF($W$73&lt;0,CC263&lt;0,TRUE))),CA264,"")</f>
        <v/>
      </c>
    </row>
    <row r="265">
      <c r="CA265" t="n">
        <v>105</v>
      </c>
      <c r="CB265" s="101">
        <f>$W$71*CA265/200</f>
        <v>31.5</v>
      </c>
      <c r="CC265" s="101">
        <f>$W$72*CB265^2/2-$W$81*SUMPRODUCT(($Z$37:$Z$48&gt;CB265)*($Z$37:$Z$48-CB265))</f>
        <v>12433.0476986646</v>
      </c>
      <c r="CD265" s="101">
        <f>$W$72*CB265^2/2*($W$71/2-CB265/3)+$W$81*SUMPRODUCT(($Z$37:$Z$48&gt;CB265)*($Z$37:$Z$48-CB265)*($Z$37:$Z$48-$W$71/2))</f>
        <v>351500.682533385</v>
      </c>
      <c r="CE265" s="101">
        <f>$W$76*CC265-$W$73*CD265</f>
        <v>2916424.508264</v>
      </c>
      <c r="CF265" s="101">
        <f>IF(AND(CE264&lt;0,CE265&gt;=0,IF($W$73&gt;0,CC265&gt;0,IF($W$73&lt;0,CC264&lt;0,TRUE))),CA265,"")</f>
        <v/>
      </c>
    </row>
    <row r="266">
      <c r="CA266" t="n">
        <v>106</v>
      </c>
      <c r="CB266" s="101">
        <f>$W$71*CA266/200</f>
        <v>31.8</v>
      </c>
      <c r="CC266" s="101">
        <f>$W$72*CB266^2/2-$W$81*SUMPRODUCT(($Z$37:$Z$48&gt;CB266)*($Z$37:$Z$48-CB266))</f>
        <v>12749.1832599583</v>
      </c>
      <c r="CD266" s="101">
        <f>$W$72*CB266^2/2*($W$71/2-CB266/3)+$W$81*SUMPRODUCT(($Z$37:$Z$48&gt;CB266)*($Z$37:$Z$48-CB266)*($Z$37:$Z$48-$W$71/2))</f>
        <v>354756.258501044</v>
      </c>
      <c r="CE266" s="101">
        <f>$W$76*CC266-$W$73*CD266</f>
        <v>3104221.43794574</v>
      </c>
      <c r="CF266" s="101">
        <f>IF(AND(CE265&lt;0,CE266&gt;=0,IF($W$73&gt;0,CC266&gt;0,IF($W$73&lt;0,CC265&lt;0,TRUE))),CA266,"")</f>
        <v/>
      </c>
    </row>
    <row r="267">
      <c r="CA267" t="n">
        <v>107</v>
      </c>
      <c r="CB267" s="101">
        <f>$W$71*CA267/200</f>
        <v>32.1</v>
      </c>
      <c r="CC267" s="101">
        <f>$W$72*CB267^2/2-$W$81*SUMPRODUCT(($Z$37:$Z$48&gt;CB267)*($Z$37:$Z$48-CB267))</f>
        <v>13068.0188212519</v>
      </c>
      <c r="CD267" s="101">
        <f>$W$72*CB267^2/2*($W$71/2-CB267/3)+$W$81*SUMPRODUCT(($Z$37:$Z$48&gt;CB267)*($Z$37:$Z$48-CB267)*($Z$37:$Z$48-$W$71/2))</f>
        <v>358006.974468702</v>
      </c>
      <c r="CE267" s="101">
        <f>$W$76*CC267-$W$73*CD267</f>
        <v>3294275.56762747</v>
      </c>
      <c r="CF267" s="101">
        <f>IF(AND(CE266&lt;0,CE267&gt;=0,IF($W$73&gt;0,CC267&gt;0,IF($W$73&lt;0,CC266&lt;0,TRUE))),CA267,"")</f>
        <v/>
      </c>
    </row>
    <row r="268">
      <c r="CA268" t="n">
        <v>108</v>
      </c>
      <c r="CB268" s="101">
        <f>$W$71*CA268/200</f>
        <v>32.4</v>
      </c>
      <c r="CC268" s="101">
        <f>$W$72*CB268^2/2-$W$81*SUMPRODUCT(($Z$37:$Z$48&gt;CB268)*($Z$37:$Z$48-CB268))</f>
        <v>13389.5543825455</v>
      </c>
      <c r="CD268" s="101">
        <f>$W$72*CB268^2/2*($W$71/2-CB268/3)+$W$81*SUMPRODUCT(($Z$37:$Z$48&gt;CB268)*($Z$37:$Z$48-CB268)*($Z$37:$Z$48-$W$71/2))</f>
        <v>361252.020436361</v>
      </c>
      <c r="CE268" s="101">
        <f>$W$76*CC268-$W$73*CD268</f>
        <v>3486603.09730921</v>
      </c>
      <c r="CF268" s="101">
        <f>IF(AND(CE267&lt;0,CE268&gt;=0,IF($W$73&gt;0,CC268&gt;0,IF($W$73&lt;0,CC267&lt;0,TRUE))),CA268,"")</f>
        <v/>
      </c>
    </row>
    <row r="269">
      <c r="CA269" t="n">
        <v>109</v>
      </c>
      <c r="CB269" s="101">
        <f>$W$71*CA269/200</f>
        <v>32.7</v>
      </c>
      <c r="CC269" s="101">
        <f>$W$72*CB269^2/2-$W$81*SUMPRODUCT(($Z$37:$Z$48&gt;CB269)*($Z$37:$Z$48-CB269))</f>
        <v>13713.7899438392</v>
      </c>
      <c r="CD269" s="101">
        <f>$W$72*CB269^2/2*($W$71/2-CB269/3)+$W$81*SUMPRODUCT(($Z$37:$Z$48&gt;CB269)*($Z$37:$Z$48-CB269)*($Z$37:$Z$48-$W$71/2))</f>
        <v>364490.58640402</v>
      </c>
      <c r="CE269" s="101">
        <f>$W$76*CC269-$W$73*CD269</f>
        <v>3681220.22699095</v>
      </c>
      <c r="CF269" s="101">
        <f>IF(AND(CE268&lt;0,CE269&gt;=0,IF($W$73&gt;0,CC269&gt;0,IF($W$73&lt;0,CC268&lt;0,TRUE))),CA269,"")</f>
        <v/>
      </c>
    </row>
    <row r="270">
      <c r="CA270" t="n">
        <v>110</v>
      </c>
      <c r="CB270" s="101">
        <f>$W$71*CA270/200</f>
        <v>33.0</v>
      </c>
      <c r="CC270" s="101">
        <f>$W$72*CB270^2/2-$W$81*SUMPRODUCT(($Z$37:$Z$48&gt;CB270)*($Z$37:$Z$48-CB270))</f>
        <v>14040.7255051328</v>
      </c>
      <c r="CD270" s="101">
        <f>$W$72*CB270^2/2*($W$71/2-CB270/3)+$W$81*SUMPRODUCT(($Z$37:$Z$48&gt;CB270)*($Z$37:$Z$48-CB270)*($Z$37:$Z$48-$W$71/2))</f>
        <v>367721.862371679</v>
      </c>
      <c r="CE270" s="101">
        <f>$W$76*CC270-$W$73*CD270</f>
        <v>3878143.15667268</v>
      </c>
      <c r="CF270" s="101">
        <f>IF(AND(CE269&lt;0,CE270&gt;=0,IF($W$73&gt;0,CC270&gt;0,IF($W$73&lt;0,CC269&lt;0,TRUE))),CA270,"")</f>
        <v/>
      </c>
    </row>
    <row r="271">
      <c r="CA271" t="n">
        <v>111</v>
      </c>
      <c r="CB271" s="101">
        <f>$W$71*CA271/200</f>
        <v>33.3</v>
      </c>
      <c r="CC271" s="101">
        <f>$W$72*CB271^2/2-$W$81*SUMPRODUCT(($Z$37:$Z$48&gt;CB271)*($Z$37:$Z$48-CB271))</f>
        <v>14370.3610664265</v>
      </c>
      <c r="CD271" s="101">
        <f>$W$72*CB271^2/2*($W$71/2-CB271/3)+$W$81*SUMPRODUCT(($Z$37:$Z$48&gt;CB271)*($Z$37:$Z$48-CB271)*($Z$37:$Z$48-$W$71/2))</f>
        <v>370945.038339338</v>
      </c>
      <c r="CE271" s="101">
        <f>$W$76*CC271-$W$73*CD271</f>
        <v>4077388.08635442</v>
      </c>
      <c r="CF271" s="101">
        <f>IF(AND(CE270&lt;0,CE271&gt;=0,IF($W$73&gt;0,CC271&gt;0,IF($W$73&lt;0,CC270&lt;0,TRUE))),CA271,"")</f>
        <v/>
      </c>
    </row>
    <row r="272">
      <c r="CA272" t="n">
        <v>112</v>
      </c>
      <c r="CB272" s="101">
        <f>$W$71*CA272/200</f>
        <v>33.6</v>
      </c>
      <c r="CC272" s="101">
        <f>$W$72*CB272^2/2-$W$81*SUMPRODUCT(($Z$37:$Z$48&gt;CB272)*($Z$37:$Z$48-CB272))</f>
        <v>14702.6966277201</v>
      </c>
      <c r="CD272" s="101">
        <f>$W$72*CB272^2/2*($W$71/2-CB272/3)+$W$81*SUMPRODUCT(($Z$37:$Z$48&gt;CB272)*($Z$37:$Z$48-CB272)*($Z$37:$Z$48-$W$71/2))</f>
        <v>374159.304306997</v>
      </c>
      <c r="CE272" s="101">
        <f>$W$76*CC272-$W$73*CD272</f>
        <v>4278971.21603616</v>
      </c>
      <c r="CF272" s="101">
        <f>IF(AND(CE271&lt;0,CE272&gt;=0,IF($W$73&gt;0,CC272&gt;0,IF($W$73&lt;0,CC271&lt;0,TRUE))),CA272,"")</f>
        <v/>
      </c>
    </row>
    <row r="273">
      <c r="CA273" t="n">
        <v>113</v>
      </c>
      <c r="CB273" s="101">
        <f>$W$71*CA273/200</f>
        <v>33.9</v>
      </c>
      <c r="CC273" s="101">
        <f>$W$72*CB273^2/2-$W$81*SUMPRODUCT(($Z$37:$Z$48&gt;CB273)*($Z$37:$Z$48-CB273))</f>
        <v>15037.7321890138</v>
      </c>
      <c r="CD273" s="101">
        <f>$W$72*CB273^2/2*($W$71/2-CB273/3)+$W$81*SUMPRODUCT(($Z$37:$Z$48&gt;CB273)*($Z$37:$Z$48-CB273)*($Z$37:$Z$48-$W$71/2))</f>
        <v>377363.850274656</v>
      </c>
      <c r="CE273" s="101">
        <f>$W$76*CC273-$W$73*CD273</f>
        <v>4482908.74571789</v>
      </c>
      <c r="CF273" s="101">
        <f>IF(AND(CE272&lt;0,CE273&gt;=0,IF($W$73&gt;0,CC273&gt;0,IF($W$73&lt;0,CC272&lt;0,TRUE))),CA273,"")</f>
        <v/>
      </c>
    </row>
    <row r="274">
      <c r="CA274" t="n">
        <v>114</v>
      </c>
      <c r="CB274" s="101">
        <f>$W$71*CA274/200</f>
        <v>34.2</v>
      </c>
      <c r="CC274" s="101">
        <f>$W$72*CB274^2/2-$W$81*SUMPRODUCT(($Z$37:$Z$48&gt;CB274)*($Z$37:$Z$48-CB274))</f>
        <v>15375.4677503074</v>
      </c>
      <c r="CD274" s="101">
        <f>$W$72*CB274^2/2*($W$71/2-CB274/3)+$W$81*SUMPRODUCT(($Z$37:$Z$48&gt;CB274)*($Z$37:$Z$48-CB274)*($Z$37:$Z$48-$W$71/2))</f>
        <v>380557.866242315</v>
      </c>
      <c r="CE274" s="101">
        <f>$W$76*CC274-$W$73*CD274</f>
        <v>4689216.87539963</v>
      </c>
      <c r="CF274" s="101">
        <f>IF(AND(CE273&lt;0,CE274&gt;=0,IF($W$73&gt;0,CC274&gt;0,IF($W$73&lt;0,CC273&lt;0,TRUE))),CA274,"")</f>
        <v/>
      </c>
    </row>
    <row r="275">
      <c r="CA275" t="n">
        <v>115</v>
      </c>
      <c r="CB275" s="101">
        <f>$W$71*CA275/200</f>
        <v>34.5</v>
      </c>
      <c r="CC275" s="101">
        <f>$W$72*CB275^2/2-$W$81*SUMPRODUCT(($Z$37:$Z$48&gt;CB275)*($Z$37:$Z$48-CB275))</f>
        <v>15715.903311601</v>
      </c>
      <c r="CD275" s="101">
        <f>$W$72*CB275^2/2*($W$71/2-CB275/3)+$W$81*SUMPRODUCT(($Z$37:$Z$48&gt;CB275)*($Z$37:$Z$48-CB275)*($Z$37:$Z$48-$W$71/2))</f>
        <v>383740.542209974</v>
      </c>
      <c r="CE275" s="101">
        <f>$W$76*CC275-$W$73*CD275</f>
        <v>4897911.80508136</v>
      </c>
      <c r="CF275" s="101">
        <f>IF(AND(CE274&lt;0,CE275&gt;=0,IF($W$73&gt;0,CC275&gt;0,IF($W$73&lt;0,CC274&lt;0,TRUE))),CA275,"")</f>
        <v/>
      </c>
    </row>
    <row r="276">
      <c r="CA276" t="n">
        <v>116</v>
      </c>
      <c r="CB276" s="101">
        <f>$W$71*CA276/200</f>
        <v>34.8</v>
      </c>
      <c r="CC276" s="101">
        <f>$W$72*CB276^2/2-$W$81*SUMPRODUCT(($Z$37:$Z$48&gt;CB276)*($Z$37:$Z$48-CB276))</f>
        <v>16059.0388728947</v>
      </c>
      <c r="CD276" s="101">
        <f>$W$72*CB276^2/2*($W$71/2-CB276/3)+$W$81*SUMPRODUCT(($Z$37:$Z$48&gt;CB276)*($Z$37:$Z$48-CB276)*($Z$37:$Z$48-$W$71/2))</f>
        <v>386911.068177633</v>
      </c>
      <c r="CE276" s="101">
        <f>$W$76*CC276-$W$73*CD276</f>
        <v>5109009.7347631</v>
      </c>
      <c r="CF276" s="101">
        <f>IF(AND(CE275&lt;0,CE276&gt;=0,IF($W$73&gt;0,CC276&gt;0,IF($W$73&lt;0,CC275&lt;0,TRUE))),CA276,"")</f>
        <v/>
      </c>
    </row>
    <row r="277">
      <c r="CA277" t="n">
        <v>117</v>
      </c>
      <c r="CB277" s="101">
        <f>$W$71*CA277/200</f>
        <v>35.1</v>
      </c>
      <c r="CC277" s="101">
        <f>$W$72*CB277^2/2-$W$81*SUMPRODUCT(($Z$37:$Z$48&gt;CB277)*($Z$37:$Z$48-CB277))</f>
        <v>16404.8744341883</v>
      </c>
      <c r="CD277" s="101">
        <f>$W$72*CB277^2/2*($W$71/2-CB277/3)+$W$81*SUMPRODUCT(($Z$37:$Z$48&gt;CB277)*($Z$37:$Z$48-CB277)*($Z$37:$Z$48-$W$71/2))</f>
        <v>390068.634145292</v>
      </c>
      <c r="CE277" s="101">
        <f>$W$76*CC277-$W$73*CD277</f>
        <v>5322526.86444484</v>
      </c>
      <c r="CF277" s="101">
        <f>IF(AND(CE276&lt;0,CE277&gt;=0,IF($W$73&gt;0,CC277&gt;0,IF($W$73&lt;0,CC276&lt;0,TRUE))),CA277,"")</f>
        <v/>
      </c>
    </row>
    <row r="278">
      <c r="CA278" t="n">
        <v>118</v>
      </c>
      <c r="CB278" s="101">
        <f>$W$71*CA278/200</f>
        <v>35.4</v>
      </c>
      <c r="CC278" s="101">
        <f>$W$72*CB278^2/2-$W$81*SUMPRODUCT(($Z$37:$Z$48&gt;CB278)*($Z$37:$Z$48-CB278))</f>
        <v>16753.409995482</v>
      </c>
      <c r="CD278" s="101">
        <f>$W$72*CB278^2/2*($W$71/2-CB278/3)+$W$81*SUMPRODUCT(($Z$37:$Z$48&gt;CB278)*($Z$37:$Z$48-CB278)*($Z$37:$Z$48-$W$71/2))</f>
        <v>393212.430112951</v>
      </c>
      <c r="CE278" s="101">
        <f>$W$76*CC278-$W$73*CD278</f>
        <v>5538479.39412657</v>
      </c>
      <c r="CF278" s="101">
        <f>IF(AND(CE277&lt;0,CE278&gt;=0,IF($W$73&gt;0,CC278&gt;0,IF($W$73&lt;0,CC277&lt;0,TRUE))),CA278,"")</f>
        <v/>
      </c>
    </row>
    <row r="279">
      <c r="CA279" t="n">
        <v>119</v>
      </c>
      <c r="CB279" s="101">
        <f>$W$71*CA279/200</f>
        <v>35.7</v>
      </c>
      <c r="CC279" s="101">
        <f>$W$72*CB279^2/2-$W$81*SUMPRODUCT(($Z$37:$Z$48&gt;CB279)*($Z$37:$Z$48-CB279))</f>
        <v>17104.6455567756</v>
      </c>
      <c r="CD279" s="101">
        <f>$W$72*CB279^2/2*($W$71/2-CB279/3)+$W$81*SUMPRODUCT(($Z$37:$Z$48&gt;CB279)*($Z$37:$Z$48-CB279)*($Z$37:$Z$48-$W$71/2))</f>
        <v>396341.64608061</v>
      </c>
      <c r="CE279" s="101">
        <f>$W$76*CC279-$W$73*CD279</f>
        <v>5756883.52380831</v>
      </c>
      <c r="CF279" s="101">
        <f>IF(AND(CE278&lt;0,CE279&gt;=0,IF($W$73&gt;0,CC279&gt;0,IF($W$73&lt;0,CC278&lt;0,TRUE))),CA279,"")</f>
        <v/>
      </c>
    </row>
    <row r="280">
      <c r="CA280" t="n">
        <v>120</v>
      </c>
      <c r="CB280" s="101">
        <f>$W$71*CA280/200</f>
        <v>36.0</v>
      </c>
      <c r="CC280" s="101">
        <f>$W$72*CB280^2/2-$W$81*SUMPRODUCT(($Z$37:$Z$48&gt;CB280)*($Z$37:$Z$48-CB280))</f>
        <v>17458.5811180693</v>
      </c>
      <c r="CD280" s="101">
        <f>$W$72*CB280^2/2*($W$71/2-CB280/3)+$W$81*SUMPRODUCT(($Z$37:$Z$48&gt;CB280)*($Z$37:$Z$48-CB280)*($Z$37:$Z$48-$W$71/2))</f>
        <v>399455.472048268</v>
      </c>
      <c r="CE280" s="101">
        <f>$W$76*CC280-$W$73*CD280</f>
        <v>5977755.45349004</v>
      </c>
      <c r="CF280" s="101">
        <f>IF(AND(CE279&lt;0,CE280&gt;=0,IF($W$73&gt;0,CC280&gt;0,IF($W$73&lt;0,CC279&lt;0,TRUE))),CA280,"")</f>
        <v/>
      </c>
    </row>
    <row r="281">
      <c r="CA281" t="n">
        <v>121</v>
      </c>
      <c r="CB281" s="101">
        <f>$W$71*CA281/200</f>
        <v>36.3</v>
      </c>
      <c r="CC281" s="101">
        <f>$W$72*CB281^2/2-$W$81*SUMPRODUCT(($Z$37:$Z$48&gt;CB281)*($Z$37:$Z$48-CB281))</f>
        <v>17815.2166793629</v>
      </c>
      <c r="CD281" s="101">
        <f>$W$72*CB281^2/2*($W$71/2-CB281/3)+$W$81*SUMPRODUCT(($Z$37:$Z$48&gt;CB281)*($Z$37:$Z$48-CB281)*($Z$37:$Z$48-$W$71/2))</f>
        <v>402553.098015927</v>
      </c>
      <c r="CE281" s="101">
        <f>$W$76*CC281-$W$73*CD281</f>
        <v>6201111.38317178</v>
      </c>
      <c r="CF281" s="101">
        <f>IF(AND(CE280&lt;0,CE281&gt;=0,IF($W$73&gt;0,CC281&gt;0,IF($W$73&lt;0,CC280&lt;0,TRUE))),CA281,"")</f>
        <v/>
      </c>
    </row>
    <row r="282">
      <c r="CA282" t="n">
        <v>122</v>
      </c>
      <c r="CB282" s="101">
        <f>$W$71*CA282/200</f>
        <v>36.6</v>
      </c>
      <c r="CC282" s="101">
        <f>$W$72*CB282^2/2-$W$81*SUMPRODUCT(($Z$37:$Z$48&gt;CB282)*($Z$37:$Z$48-CB282))</f>
        <v>18174.5522406566</v>
      </c>
      <c r="CD282" s="101">
        <f>$W$72*CB282^2/2*($W$71/2-CB282/3)+$W$81*SUMPRODUCT(($Z$37:$Z$48&gt;CB282)*($Z$37:$Z$48-CB282)*($Z$37:$Z$48-$W$71/2))</f>
        <v>405633.713983586</v>
      </c>
      <c r="CE282" s="101">
        <f>$W$76*CC282-$W$73*CD282</f>
        <v>6426967.51285352</v>
      </c>
      <c r="CF282" s="101">
        <f>IF(AND(CE281&lt;0,CE282&gt;=0,IF($W$73&gt;0,CC282&gt;0,IF($W$73&lt;0,CC281&lt;0,TRUE))),CA282,"")</f>
        <v/>
      </c>
    </row>
    <row r="283">
      <c r="CA283" t="n">
        <v>123</v>
      </c>
      <c r="CB283" s="101">
        <f>$W$71*CA283/200</f>
        <v>36.9</v>
      </c>
      <c r="CC283" s="101">
        <f>$W$72*CB283^2/2-$W$81*SUMPRODUCT(($Z$37:$Z$48&gt;CB283)*($Z$37:$Z$48-CB283))</f>
        <v>18536.5878019502</v>
      </c>
      <c r="CD283" s="101">
        <f>$W$72*CB283^2/2*($W$71/2-CB283/3)+$W$81*SUMPRODUCT(($Z$37:$Z$48&gt;CB283)*($Z$37:$Z$48-CB283)*($Z$37:$Z$48-$W$71/2))</f>
        <v>408696.509951245</v>
      </c>
      <c r="CE283" s="101">
        <f>$W$76*CC283-$W$73*CD283</f>
        <v>6655340.04253525</v>
      </c>
      <c r="CF283" s="101">
        <f>IF(AND(CE282&lt;0,CE283&gt;=0,IF($W$73&gt;0,CC283&gt;0,IF($W$73&lt;0,CC282&lt;0,TRUE))),CA283,"")</f>
        <v/>
      </c>
    </row>
    <row r="284">
      <c r="CA284" t="n">
        <v>124</v>
      </c>
      <c r="CB284" s="101">
        <f>$W$71*CA284/200</f>
        <v>37.2</v>
      </c>
      <c r="CC284" s="101">
        <f>$W$72*CB284^2/2-$W$81*SUMPRODUCT(($Z$37:$Z$48&gt;CB284)*($Z$37:$Z$48-CB284))</f>
        <v>18901.3233632438</v>
      </c>
      <c r="CD284" s="101">
        <f>$W$72*CB284^2/2*($W$71/2-CB284/3)+$W$81*SUMPRODUCT(($Z$37:$Z$48&gt;CB284)*($Z$37:$Z$48-CB284)*($Z$37:$Z$48-$W$71/2))</f>
        <v>411740.675918904</v>
      </c>
      <c r="CE284" s="101">
        <f>$W$76*CC284-$W$73*CD284</f>
        <v>6886245.17221699</v>
      </c>
      <c r="CF284" s="101">
        <f>IF(AND(CE283&lt;0,CE284&gt;=0,IF($W$73&gt;0,CC284&gt;0,IF($W$73&lt;0,CC283&lt;0,TRUE))),CA284,"")</f>
        <v/>
      </c>
    </row>
    <row r="285">
      <c r="CA285" t="n">
        <v>125</v>
      </c>
      <c r="CB285" s="101">
        <f>$W$71*CA285/200</f>
        <v>37.5</v>
      </c>
      <c r="CC285" s="101">
        <f>$W$72*CB285^2/2-$W$81*SUMPRODUCT(($Z$37:$Z$48&gt;CB285)*($Z$37:$Z$48-CB285))</f>
        <v>19268.7589245375</v>
      </c>
      <c r="CD285" s="101">
        <f>$W$72*CB285^2/2*($W$71/2-CB285/3)+$W$81*SUMPRODUCT(($Z$37:$Z$48&gt;CB285)*($Z$37:$Z$48-CB285)*($Z$37:$Z$48-$W$71/2))</f>
        <v>414765.401886563</v>
      </c>
      <c r="CE285" s="101">
        <f>$W$76*CC285-$W$73*CD285</f>
        <v>7119699.10189872</v>
      </c>
      <c r="CF285" s="101">
        <f>IF(AND(CE284&lt;0,CE285&gt;=0,IF($W$73&gt;0,CC285&gt;0,IF($W$73&lt;0,CC284&lt;0,TRUE))),CA285,"")</f>
        <v/>
      </c>
    </row>
    <row r="286">
      <c r="CA286" t="n">
        <v>126</v>
      </c>
      <c r="CB286" s="101">
        <f>$W$71*CA286/200</f>
        <v>37.8</v>
      </c>
      <c r="CC286" s="101">
        <f>$W$72*CB286^2/2-$W$81*SUMPRODUCT(($Z$37:$Z$48&gt;CB286)*($Z$37:$Z$48-CB286))</f>
        <v>19638.8944858311</v>
      </c>
      <c r="CD286" s="101">
        <f>$W$72*CB286^2/2*($W$71/2-CB286/3)+$W$81*SUMPRODUCT(($Z$37:$Z$48&gt;CB286)*($Z$37:$Z$48-CB286)*($Z$37:$Z$48-$W$71/2))</f>
        <v>417769.877854222</v>
      </c>
      <c r="CE286" s="101">
        <f>$W$76*CC286-$W$73*CD286</f>
        <v>7355718.03158046</v>
      </c>
      <c r="CF286" s="101">
        <f>IF(AND(CE285&lt;0,CE286&gt;=0,IF($W$73&gt;0,CC286&gt;0,IF($W$73&lt;0,CC285&lt;0,TRUE))),CA286,"")</f>
        <v/>
      </c>
    </row>
    <row r="287">
      <c r="CA287" t="n">
        <v>127</v>
      </c>
      <c r="CB287" s="101">
        <f>$W$71*CA287/200</f>
        <v>38.1</v>
      </c>
      <c r="CC287" s="101">
        <f>$W$72*CB287^2/2-$W$81*SUMPRODUCT(($Z$37:$Z$48&gt;CB287)*($Z$37:$Z$48-CB287))</f>
        <v>20011.7300471248</v>
      </c>
      <c r="CD287" s="101">
        <f>$W$72*CB287^2/2*($W$71/2-CB287/3)+$W$81*SUMPRODUCT(($Z$37:$Z$48&gt;CB287)*($Z$37:$Z$48-CB287)*($Z$37:$Z$48-$W$71/2))</f>
        <v>420753.293821881</v>
      </c>
      <c r="CE287" s="101">
        <f>$W$76*CC287-$W$73*CD287</f>
        <v>7594318.1612622</v>
      </c>
      <c r="CF287" s="101">
        <f>IF(AND(CE286&lt;0,CE287&gt;=0,IF($W$73&gt;0,CC287&gt;0,IF($W$73&lt;0,CC286&lt;0,TRUE))),CA287,"")</f>
        <v/>
      </c>
    </row>
    <row r="288">
      <c r="CA288" t="n">
        <v>128</v>
      </c>
      <c r="CB288" s="101">
        <f>$W$71*CA288/200</f>
        <v>38.4</v>
      </c>
      <c r="CC288" s="101">
        <f>$W$72*CB288^2/2-$W$81*SUMPRODUCT(($Z$37:$Z$48&gt;CB288)*($Z$37:$Z$48-CB288))</f>
        <v>20387.2656084184</v>
      </c>
      <c r="CD288" s="101">
        <f>$W$72*CB288^2/2*($W$71/2-CB288/3)+$W$81*SUMPRODUCT(($Z$37:$Z$48&gt;CB288)*($Z$37:$Z$48-CB288)*($Z$37:$Z$48-$W$71/2))</f>
        <v>423714.83978954</v>
      </c>
      <c r="CE288" s="101">
        <f>$W$76*CC288-$W$73*CD288</f>
        <v>7835515.69094393</v>
      </c>
      <c r="CF288" s="101">
        <f>IF(AND(CE287&lt;0,CE288&gt;=0,IF($W$73&gt;0,CC288&gt;0,IF($W$73&lt;0,CC287&lt;0,TRUE))),CA288,"")</f>
        <v/>
      </c>
    </row>
    <row r="289">
      <c r="CA289" t="n">
        <v>129</v>
      </c>
      <c r="CB289" s="101">
        <f>$W$71*CA289/200</f>
        <v>38.7</v>
      </c>
      <c r="CC289" s="101">
        <f>$W$72*CB289^2/2-$W$81*SUMPRODUCT(($Z$37:$Z$48&gt;CB289)*($Z$37:$Z$48-CB289))</f>
        <v>20765.5011697121</v>
      </c>
      <c r="CD289" s="101">
        <f>$W$72*CB289^2/2*($W$71/2-CB289/3)+$W$81*SUMPRODUCT(($Z$37:$Z$48&gt;CB289)*($Z$37:$Z$48-CB289)*($Z$37:$Z$48-$W$71/2))</f>
        <v>426653.705757199</v>
      </c>
      <c r="CE289" s="101">
        <f>$W$76*CC289-$W$73*CD289</f>
        <v>8079326.82062567</v>
      </c>
      <c r="CF289" s="101">
        <f>IF(AND(CE288&lt;0,CE289&gt;=0,IF($W$73&gt;0,CC289&gt;0,IF($W$73&lt;0,CC288&lt;0,TRUE))),CA289,"")</f>
        <v/>
      </c>
    </row>
    <row r="290">
      <c r="CA290" t="n">
        <v>130</v>
      </c>
      <c r="CB290" s="101">
        <f>$W$71*CA290/200</f>
        <v>39.0</v>
      </c>
      <c r="CC290" s="101">
        <f>$W$72*CB290^2/2-$W$81*SUMPRODUCT(($Z$37:$Z$48&gt;CB290)*($Z$37:$Z$48-CB290))</f>
        <v>21146.4367310057</v>
      </c>
      <c r="CD290" s="101">
        <f>$W$72*CB290^2/2*($W$71/2-CB290/3)+$W$81*SUMPRODUCT(($Z$37:$Z$48&gt;CB290)*($Z$37:$Z$48-CB290)*($Z$37:$Z$48-$W$71/2))</f>
        <v>429569.081724858</v>
      </c>
      <c r="CE290" s="101">
        <f>$W$76*CC290-$W$73*CD290</f>
        <v>8325767.7503074</v>
      </c>
      <c r="CF290" s="101">
        <f>IF(AND(CE289&lt;0,CE290&gt;=0,IF($W$73&gt;0,CC290&gt;0,IF($W$73&lt;0,CC289&lt;0,TRUE))),CA290,"")</f>
        <v/>
      </c>
    </row>
    <row r="291">
      <c r="CA291" t="n">
        <v>131</v>
      </c>
      <c r="CB291" s="101">
        <f>$W$71*CA291/200</f>
        <v>39.3</v>
      </c>
      <c r="CC291" s="101">
        <f>$W$72*CB291^2/2-$W$81*SUMPRODUCT(($Z$37:$Z$48&gt;CB291)*($Z$37:$Z$48-CB291))</f>
        <v>21530.0722922993</v>
      </c>
      <c r="CD291" s="101">
        <f>$W$72*CB291^2/2*($W$71/2-CB291/3)+$W$81*SUMPRODUCT(($Z$37:$Z$48&gt;CB291)*($Z$37:$Z$48-CB291)*($Z$37:$Z$48-$W$71/2))</f>
        <v>432460.157692517</v>
      </c>
      <c r="CE291" s="101">
        <f>$W$76*CC291-$W$73*CD291</f>
        <v>8574854.67998914</v>
      </c>
      <c r="CF291" s="101">
        <f>IF(AND(CE290&lt;0,CE291&gt;=0,IF($W$73&gt;0,CC291&gt;0,IF($W$73&lt;0,CC290&lt;0,TRUE))),CA291,"")</f>
        <v/>
      </c>
    </row>
    <row r="292">
      <c r="CA292" t="n">
        <v>132</v>
      </c>
      <c r="CB292" s="101">
        <f>$W$71*CA292/200</f>
        <v>39.6</v>
      </c>
      <c r="CC292" s="101">
        <f>$W$72*CB292^2/2-$W$81*SUMPRODUCT(($Z$37:$Z$48&gt;CB292)*($Z$37:$Z$48-CB292))</f>
        <v>21916.407853593</v>
      </c>
      <c r="CD292" s="101">
        <f>$W$72*CB292^2/2*($W$71/2-CB292/3)+$W$81*SUMPRODUCT(($Z$37:$Z$48&gt;CB292)*($Z$37:$Z$48-CB292)*($Z$37:$Z$48-$W$71/2))</f>
        <v>435326.123660175</v>
      </c>
      <c r="CE292" s="101">
        <f>$W$76*CC292-$W$73*CD292</f>
        <v>8826603.80967088</v>
      </c>
      <c r="CF292" s="101">
        <f>IF(AND(CE291&lt;0,CE292&gt;=0,IF($W$73&gt;0,CC292&gt;0,IF($W$73&lt;0,CC291&lt;0,TRUE))),CA292,"")</f>
        <v/>
      </c>
    </row>
    <row r="293">
      <c r="CA293" t="n">
        <v>133</v>
      </c>
      <c r="CB293" s="101">
        <f>$W$71*CA293/200</f>
        <v>39.9</v>
      </c>
      <c r="CC293" s="101">
        <f>$W$72*CB293^2/2-$W$81*SUMPRODUCT(($Z$37:$Z$48&gt;CB293)*($Z$37:$Z$48-CB293))</f>
        <v>22305.4434148866</v>
      </c>
      <c r="CD293" s="101">
        <f>$W$72*CB293^2/2*($W$71/2-CB293/3)+$W$81*SUMPRODUCT(($Z$37:$Z$48&gt;CB293)*($Z$37:$Z$48-CB293)*($Z$37:$Z$48-$W$71/2))</f>
        <v>438166.169627834</v>
      </c>
      <c r="CE293" s="101">
        <f>$W$76*CC293-$W$73*CD293</f>
        <v>9081031.33935261</v>
      </c>
      <c r="CF293" s="101">
        <f>IF(AND(CE292&lt;0,CE293&gt;=0,IF($W$73&gt;0,CC293&gt;0,IF($W$73&lt;0,CC292&lt;0,TRUE))),CA293,"")</f>
        <v/>
      </c>
    </row>
    <row r="294">
      <c r="CA294" t="n">
        <v>134</v>
      </c>
      <c r="CB294" s="101">
        <f>$W$71*CA294/200</f>
        <v>40.2</v>
      </c>
      <c r="CC294" s="101">
        <f>$W$72*CB294^2/2-$W$81*SUMPRODUCT(($Z$37:$Z$48&gt;CB294)*($Z$37:$Z$48-CB294))</f>
        <v>22697.1789761803</v>
      </c>
      <c r="CD294" s="101">
        <f>$W$72*CB294^2/2*($W$71/2-CB294/3)+$W$81*SUMPRODUCT(($Z$37:$Z$48&gt;CB294)*($Z$37:$Z$48-CB294)*($Z$37:$Z$48-$W$71/2))</f>
        <v>440979.485595493</v>
      </c>
      <c r="CE294" s="101">
        <f>$W$76*CC294-$W$73*CD294</f>
        <v>9338153.46903435</v>
      </c>
      <c r="CF294" s="101">
        <f>IF(AND(CE293&lt;0,CE294&gt;=0,IF($W$73&gt;0,CC294&gt;0,IF($W$73&lt;0,CC293&lt;0,TRUE))),CA294,"")</f>
        <v/>
      </c>
    </row>
    <row r="295">
      <c r="CA295" t="n">
        <v>135</v>
      </c>
      <c r="CB295" s="101">
        <f>$W$71*CA295/200</f>
        <v>40.5</v>
      </c>
      <c r="CC295" s="101">
        <f>$W$72*CB295^2/2-$W$81*SUMPRODUCT(($Z$37:$Z$48&gt;CB295)*($Z$37:$Z$48-CB295))</f>
        <v>23091.6145374739</v>
      </c>
      <c r="CD295" s="101">
        <f>$W$72*CB295^2/2*($W$71/2-CB295/3)+$W$81*SUMPRODUCT(($Z$37:$Z$48&gt;CB295)*($Z$37:$Z$48-CB295)*($Z$37:$Z$48-$W$71/2))</f>
        <v>443765.261563152</v>
      </c>
      <c r="CE295" s="101">
        <f>$W$76*CC295-$W$73*CD295</f>
        <v>9597986.39871609</v>
      </c>
      <c r="CF295" s="101">
        <f>IF(AND(CE294&lt;0,CE295&gt;=0,IF($W$73&gt;0,CC295&gt;0,IF($W$73&lt;0,CC294&lt;0,TRUE))),CA295,"")</f>
        <v/>
      </c>
    </row>
    <row r="296">
      <c r="CA296" t="n">
        <v>136</v>
      </c>
      <c r="CB296" s="101">
        <f>$W$71*CA296/200</f>
        <v>40.8</v>
      </c>
      <c r="CC296" s="101">
        <f>$W$72*CB296^2/2-$W$81*SUMPRODUCT(($Z$37:$Z$48&gt;CB296)*($Z$37:$Z$48-CB296))</f>
        <v>23488.7500987676</v>
      </c>
      <c r="CD296" s="101">
        <f>$W$72*CB296^2/2*($W$71/2-CB296/3)+$W$81*SUMPRODUCT(($Z$37:$Z$48&gt;CB296)*($Z$37:$Z$48-CB296)*($Z$37:$Z$48-$W$71/2))</f>
        <v>446522.687530811</v>
      </c>
      <c r="CE296" s="101">
        <f>$W$76*CC296-$W$73*CD296</f>
        <v>9860546.32839782</v>
      </c>
      <c r="CF296" s="101">
        <f>IF(AND(CE295&lt;0,CE296&gt;=0,IF($W$73&gt;0,CC296&gt;0,IF($W$73&lt;0,CC295&lt;0,TRUE))),CA296,"")</f>
        <v/>
      </c>
    </row>
    <row r="297">
      <c r="CA297" t="n">
        <v>137</v>
      </c>
      <c r="CB297" s="101">
        <f>$W$71*CA297/200</f>
        <v>41.1</v>
      </c>
      <c r="CC297" s="101">
        <f>$W$72*CB297^2/2-$W$81*SUMPRODUCT(($Z$37:$Z$48&gt;CB297)*($Z$37:$Z$48-CB297))</f>
        <v>23888.5856600612</v>
      </c>
      <c r="CD297" s="101">
        <f>$W$72*CB297^2/2*($W$71/2-CB297/3)+$W$81*SUMPRODUCT(($Z$37:$Z$48&gt;CB297)*($Z$37:$Z$48-CB297)*($Z$37:$Z$48-$W$71/2))</f>
        <v>449250.95349847</v>
      </c>
      <c r="CE297" s="101">
        <f>$W$76*CC297-$W$73*CD297</f>
        <v>10125849.4580796</v>
      </c>
      <c r="CF297" s="101">
        <f>IF(AND(CE296&lt;0,CE297&gt;=0,IF($W$73&gt;0,CC297&gt;0,IF($W$73&lt;0,CC296&lt;0,TRUE))),CA297,"")</f>
        <v/>
      </c>
    </row>
    <row r="298">
      <c r="CA298" t="n">
        <v>138</v>
      </c>
      <c r="CB298" s="101">
        <f>$W$71*CA298/200</f>
        <v>41.4</v>
      </c>
      <c r="CC298" s="101">
        <f>$W$72*CB298^2/2-$W$81*SUMPRODUCT(($Z$37:$Z$48&gt;CB298)*($Z$37:$Z$48-CB298))</f>
        <v>24291.1212213548</v>
      </c>
      <c r="CD298" s="101">
        <f>$W$72*CB298^2/2*($W$71/2-CB298/3)+$W$81*SUMPRODUCT(($Z$37:$Z$48&gt;CB298)*($Z$37:$Z$48-CB298)*($Z$37:$Z$48-$W$71/2))</f>
        <v>451949.249466129</v>
      </c>
      <c r="CE298" s="101">
        <f>$W$76*CC298-$W$73*CD298</f>
        <v>10393911.9877613</v>
      </c>
      <c r="CF298" s="101">
        <f>IF(AND(CE297&lt;0,CE298&gt;=0,IF($W$73&gt;0,CC298&gt;0,IF($W$73&lt;0,CC297&lt;0,TRUE))),CA298,"")</f>
        <v/>
      </c>
    </row>
    <row r="299">
      <c r="CA299" t="n">
        <v>139</v>
      </c>
      <c r="CB299" s="101">
        <f>$W$71*CA299/200</f>
        <v>41.7</v>
      </c>
      <c r="CC299" s="101">
        <f>$W$72*CB299^2/2-$W$81*SUMPRODUCT(($Z$37:$Z$48&gt;CB299)*($Z$37:$Z$48-CB299))</f>
        <v>24696.3567826485</v>
      </c>
      <c r="CD299" s="101">
        <f>$W$72*CB299^2/2*($W$71/2-CB299/3)+$W$81*SUMPRODUCT(($Z$37:$Z$48&gt;CB299)*($Z$37:$Z$48-CB299)*($Z$37:$Z$48-$W$71/2))</f>
        <v>454616.765433788</v>
      </c>
      <c r="CE299" s="101">
        <f>$W$76*CC299-$W$73*CD299</f>
        <v>10664750.117443</v>
      </c>
      <c r="CF299" s="101">
        <f>IF(AND(CE298&lt;0,CE299&gt;=0,IF($W$73&gt;0,CC299&gt;0,IF($W$73&lt;0,CC298&lt;0,TRUE))),CA299,"")</f>
        <v/>
      </c>
    </row>
    <row r="300">
      <c r="CA300" t="n">
        <v>140</v>
      </c>
      <c r="CB300" s="101">
        <f>$W$71*CA300/200</f>
        <v>42.0</v>
      </c>
      <c r="CC300" s="101">
        <f>$W$72*CB300^2/2-$W$81*SUMPRODUCT(($Z$37:$Z$48&gt;CB300)*($Z$37:$Z$48-CB300))</f>
        <v>25104.2923439421</v>
      </c>
      <c r="CD300" s="101">
        <f>$W$72*CB300^2/2*($W$71/2-CB300/3)+$W$81*SUMPRODUCT(($Z$37:$Z$48&gt;CB300)*($Z$37:$Z$48-CB300)*($Z$37:$Z$48-$W$71/2))</f>
        <v>457252.691401447</v>
      </c>
      <c r="CE300" s="101">
        <f>$W$76*CC300-$W$73*CD300</f>
        <v>10938380.0471248</v>
      </c>
      <c r="CF300" s="101">
        <f>IF(AND(CE299&lt;0,CE300&gt;=0,IF($W$73&gt;0,CC300&gt;0,IF($W$73&lt;0,CC299&lt;0,TRUE))),CA300,"")</f>
        <v/>
      </c>
    </row>
    <row r="301">
      <c r="CA301" t="n">
        <v>141</v>
      </c>
      <c r="CB301" s="101">
        <f>$W$71*CA301/200</f>
        <v>42.3</v>
      </c>
      <c r="CC301" s="101">
        <f>$W$72*CB301^2/2-$W$81*SUMPRODUCT(($Z$37:$Z$48&gt;CB301)*($Z$37:$Z$48-CB301))</f>
        <v>25514.9279052358</v>
      </c>
      <c r="CD301" s="101">
        <f>$W$72*CB301^2/2*($W$71/2-CB301/3)+$W$81*SUMPRODUCT(($Z$37:$Z$48&gt;CB301)*($Z$37:$Z$48-CB301)*($Z$37:$Z$48-$W$71/2))</f>
        <v>459856.217369106</v>
      </c>
      <c r="CE301" s="101">
        <f>$W$76*CC301-$W$73*CD301</f>
        <v>11214817.9768065</v>
      </c>
      <c r="CF301" s="101">
        <f>IF(AND(CE300&lt;0,CE301&gt;=0,IF($W$73&gt;0,CC301&gt;0,IF($W$73&lt;0,CC300&lt;0,TRUE))),CA301,"")</f>
        <v/>
      </c>
    </row>
    <row r="302">
      <c r="CA302" t="n">
        <v>142</v>
      </c>
      <c r="CB302" s="101">
        <f>$W$71*CA302/200</f>
        <v>42.6</v>
      </c>
      <c r="CC302" s="101">
        <f>$W$72*CB302^2/2-$W$81*SUMPRODUCT(($Z$37:$Z$48&gt;CB302)*($Z$37:$Z$48-CB302))</f>
        <v>25928.2634665294</v>
      </c>
      <c r="CD302" s="101">
        <f>$W$72*CB302^2/2*($W$71/2-CB302/3)+$W$81*SUMPRODUCT(($Z$37:$Z$48&gt;CB302)*($Z$37:$Z$48-CB302)*($Z$37:$Z$48-$W$71/2))</f>
        <v>462426.533336765</v>
      </c>
      <c r="CE302" s="101">
        <f>$W$76*CC302-$W$73*CD302</f>
        <v>11494080.1064882</v>
      </c>
      <c r="CF302" s="101">
        <f>IF(AND(CE301&lt;0,CE302&gt;=0,IF($W$73&gt;0,CC302&gt;0,IF($W$73&lt;0,CC301&lt;0,TRUE))),CA302,"")</f>
        <v/>
      </c>
    </row>
    <row r="303">
      <c r="CA303" t="n">
        <v>143</v>
      </c>
      <c r="CB303" s="101">
        <f>$W$71*CA303/200</f>
        <v>42.9</v>
      </c>
      <c r="CC303" s="101">
        <f>$W$72*CB303^2/2-$W$81*SUMPRODUCT(($Z$37:$Z$48&gt;CB303)*($Z$37:$Z$48-CB303))</f>
        <v>26344.2990278231</v>
      </c>
      <c r="CD303" s="101">
        <f>$W$72*CB303^2/2*($W$71/2-CB303/3)+$W$81*SUMPRODUCT(($Z$37:$Z$48&gt;CB303)*($Z$37:$Z$48-CB303)*($Z$37:$Z$48-$W$71/2))</f>
        <v>464962.829304424</v>
      </c>
      <c r="CE303" s="101">
        <f>$W$76*CC303-$W$73*CD303</f>
        <v>11776182.63617</v>
      </c>
      <c r="CF303" s="101">
        <f>IF(AND(CE302&lt;0,CE303&gt;=0,IF($W$73&gt;0,CC303&gt;0,IF($W$73&lt;0,CC302&lt;0,TRUE))),CA303,"")</f>
        <v/>
      </c>
    </row>
    <row r="304">
      <c r="CA304" t="n">
        <v>144</v>
      </c>
      <c r="CB304" s="101">
        <f>$W$71*CA304/200</f>
        <v>43.2</v>
      </c>
      <c r="CC304" s="101">
        <f>$W$72*CB304^2/2-$W$81*SUMPRODUCT(($Z$37:$Z$48&gt;CB304)*($Z$37:$Z$48-CB304))</f>
        <v>26763.0345891167</v>
      </c>
      <c r="CD304" s="101">
        <f>$W$72*CB304^2/2*($W$71/2-CB304/3)+$W$81*SUMPRODUCT(($Z$37:$Z$48&gt;CB304)*($Z$37:$Z$48-CB304)*($Z$37:$Z$48-$W$71/2))</f>
        <v>467464.295272083</v>
      </c>
      <c r="CE304" s="101">
        <f>$W$76*CC304-$W$73*CD304</f>
        <v>12061141.7658517</v>
      </c>
      <c r="CF304" s="101">
        <f>IF(AND(CE303&lt;0,CE304&gt;=0,IF($W$73&gt;0,CC304&gt;0,IF($W$73&lt;0,CC303&lt;0,TRUE))),CA304,"")</f>
        <v/>
      </c>
    </row>
    <row r="305">
      <c r="CA305" t="n">
        <v>145</v>
      </c>
      <c r="CB305" s="101">
        <f>$W$71*CA305/200</f>
        <v>43.5</v>
      </c>
      <c r="CC305" s="101">
        <f>$W$72*CB305^2/2-$W$81*SUMPRODUCT(($Z$37:$Z$48&gt;CB305)*($Z$37:$Z$48-CB305))</f>
        <v>27184.4701504103</v>
      </c>
      <c r="CD305" s="101">
        <f>$W$72*CB305^2/2*($W$71/2-CB305/3)+$W$81*SUMPRODUCT(($Z$37:$Z$48&gt;CB305)*($Z$37:$Z$48-CB305)*($Z$37:$Z$48-$W$71/2))</f>
        <v>469930.121239741</v>
      </c>
      <c r="CE305" s="101">
        <f>$W$76*CC305-$W$73*CD305</f>
        <v>12348973.6955334</v>
      </c>
      <c r="CF305" s="101">
        <f>IF(AND(CE304&lt;0,CE305&gt;=0,IF($W$73&gt;0,CC305&gt;0,IF($W$73&lt;0,CC304&lt;0,TRUE))),CA305,"")</f>
        <v/>
      </c>
    </row>
    <row r="306">
      <c r="CA306" t="n">
        <v>146</v>
      </c>
      <c r="CB306" s="101">
        <f>$W$71*CA306/200</f>
        <v>43.8</v>
      </c>
      <c r="CC306" s="101">
        <f>$W$72*CB306^2/2-$W$81*SUMPRODUCT(($Z$37:$Z$48&gt;CB306)*($Z$37:$Z$48-CB306))</f>
        <v>27608.605711704</v>
      </c>
      <c r="CD306" s="101">
        <f>$W$72*CB306^2/2*($W$71/2-CB306/3)+$W$81*SUMPRODUCT(($Z$37:$Z$48&gt;CB306)*($Z$37:$Z$48-CB306)*($Z$37:$Z$48-$W$71/2))</f>
        <v>472359.4972074</v>
      </c>
      <c r="CE306" s="101">
        <f>$W$76*CC306-$W$73*CD306</f>
        <v>12639694.6252152</v>
      </c>
      <c r="CF306" s="101">
        <f>IF(AND(CE305&lt;0,CE306&gt;=0,IF($W$73&gt;0,CC306&gt;0,IF($W$73&lt;0,CC305&lt;0,TRUE))),CA306,"")</f>
        <v/>
      </c>
    </row>
    <row r="307">
      <c r="CA307" t="n">
        <v>147</v>
      </c>
      <c r="CB307" s="101">
        <f>$W$71*CA307/200</f>
        <v>44.1</v>
      </c>
      <c r="CC307" s="101">
        <f>$W$72*CB307^2/2-$W$81*SUMPRODUCT(($Z$37:$Z$48&gt;CB307)*($Z$37:$Z$48-CB307))</f>
        <v>28035.4412729976</v>
      </c>
      <c r="CD307" s="101">
        <f>$W$72*CB307^2/2*($W$71/2-CB307/3)+$W$81*SUMPRODUCT(($Z$37:$Z$48&gt;CB307)*($Z$37:$Z$48-CB307)*($Z$37:$Z$48-$W$71/2))</f>
        <v>474751.613175059</v>
      </c>
      <c r="CE307" s="101">
        <f>$W$76*CC307-$W$73*CD307</f>
        <v>12933320.7548969</v>
      </c>
      <c r="CF307" s="101">
        <f>IF(AND(CE306&lt;0,CE307&gt;=0,IF($W$73&gt;0,CC307&gt;0,IF($W$73&lt;0,CC306&lt;0,TRUE))),CA307,"")</f>
        <v/>
      </c>
    </row>
    <row r="308">
      <c r="CA308" t="n">
        <v>148</v>
      </c>
      <c r="CB308" s="101">
        <f>$W$71*CA308/200</f>
        <v>44.4</v>
      </c>
      <c r="CC308" s="101">
        <f>$W$72*CB308^2/2-$W$81*SUMPRODUCT(($Z$37:$Z$48&gt;CB308)*($Z$37:$Z$48-CB308))</f>
        <v>28464.9768342913</v>
      </c>
      <c r="CD308" s="101">
        <f>$W$72*CB308^2/2*($W$71/2-CB308/3)+$W$81*SUMPRODUCT(($Z$37:$Z$48&gt;CB308)*($Z$37:$Z$48-CB308)*($Z$37:$Z$48-$W$71/2))</f>
        <v>477105.659142718</v>
      </c>
      <c r="CE308" s="101">
        <f>$W$76*CC308-$W$73*CD308</f>
        <v>13229868.2845787</v>
      </c>
      <c r="CF308" s="101">
        <f>IF(AND(CE307&lt;0,CE308&gt;=0,IF($W$73&gt;0,CC308&gt;0,IF($W$73&lt;0,CC307&lt;0,TRUE))),CA308,"")</f>
        <v/>
      </c>
    </row>
    <row r="309">
      <c r="CA309" t="n">
        <v>149</v>
      </c>
      <c r="CB309" s="101">
        <f>$W$71*CA309/200</f>
        <v>44.7</v>
      </c>
      <c r="CC309" s="101">
        <f>$W$72*CB309^2/2-$W$81*SUMPRODUCT(($Z$37:$Z$48&gt;CB309)*($Z$37:$Z$48-CB309))</f>
        <v>28897.2123955849</v>
      </c>
      <c r="CD309" s="101">
        <f>$W$72*CB309^2/2*($W$71/2-CB309/3)+$W$81*SUMPRODUCT(($Z$37:$Z$48&gt;CB309)*($Z$37:$Z$48-CB309)*($Z$37:$Z$48-$W$71/2))</f>
        <v>479420.825110377</v>
      </c>
      <c r="CE309" s="101">
        <f>$W$76*CC309-$W$73*CD309</f>
        <v>13529353.4142604</v>
      </c>
      <c r="CF309" s="101">
        <f>IF(AND(CE308&lt;0,CE309&gt;=0,IF($W$73&gt;0,CC309&gt;0,IF($W$73&lt;0,CC308&lt;0,TRUE))),CA309,"")</f>
        <v/>
      </c>
    </row>
    <row r="310">
      <c r="CA310" t="n">
        <v>150</v>
      </c>
      <c r="CB310" s="101">
        <f>$W$71*CA310/200</f>
        <v>45.0</v>
      </c>
      <c r="CC310" s="101">
        <f>$W$72*CB310^2/2-$W$81*SUMPRODUCT(($Z$37:$Z$48&gt;CB310)*($Z$37:$Z$48-CB310))</f>
        <v>29332.1479568786</v>
      </c>
      <c r="CD310" s="101">
        <f>$W$72*CB310^2/2*($W$71/2-CB310/3)+$W$81*SUMPRODUCT(($Z$37:$Z$48&gt;CB310)*($Z$37:$Z$48-CB310)*($Z$37:$Z$48-$W$71/2))</f>
        <v>481696.301078036</v>
      </c>
      <c r="CE310" s="101">
        <f>$W$76*CC310-$W$73*CD310</f>
        <v>13831792.3439421</v>
      </c>
      <c r="CF310" s="101">
        <f>IF(AND(CE309&lt;0,CE310&gt;=0,IF($W$73&gt;0,CC310&gt;0,IF($W$73&lt;0,CC309&lt;0,TRUE))),CA310,"")</f>
        <v/>
      </c>
    </row>
    <row r="311">
      <c r="CA311" t="n">
        <v>151</v>
      </c>
      <c r="CB311" s="101">
        <f>$W$71*CA311/200</f>
        <v>45.3</v>
      </c>
      <c r="CC311" s="101">
        <f>$W$72*CB311^2/2-$W$81*SUMPRODUCT(($Z$37:$Z$48&gt;CB311)*($Z$37:$Z$48-CB311))</f>
        <v>29769.7835181722</v>
      </c>
      <c r="CD311" s="101">
        <f>$W$72*CB311^2/2*($W$71/2-CB311/3)+$W$81*SUMPRODUCT(($Z$37:$Z$48&gt;CB311)*($Z$37:$Z$48-CB311)*($Z$37:$Z$48-$W$71/2))</f>
        <v>483931.277045695</v>
      </c>
      <c r="CE311" s="101">
        <f>$W$76*CC311-$W$73*CD311</f>
        <v>14137201.2736239</v>
      </c>
      <c r="CF311" s="101">
        <f>IF(AND(CE310&lt;0,CE311&gt;=0,IF($W$73&gt;0,CC311&gt;0,IF($W$73&lt;0,CC310&lt;0,TRUE))),CA311,"")</f>
        <v/>
      </c>
    </row>
    <row r="312">
      <c r="CA312" t="n">
        <v>152</v>
      </c>
      <c r="CB312" s="101">
        <f>$W$71*CA312/200</f>
        <v>45.6</v>
      </c>
      <c r="CC312" s="101">
        <f>$W$72*CB312^2/2-$W$81*SUMPRODUCT(($Z$37:$Z$48&gt;CB312)*($Z$37:$Z$48-CB312))</f>
        <v>30210.1190794658</v>
      </c>
      <c r="CD312" s="101">
        <f>$W$72*CB312^2/2*($W$71/2-CB312/3)+$W$81*SUMPRODUCT(($Z$37:$Z$48&gt;CB312)*($Z$37:$Z$48-CB312)*($Z$37:$Z$48-$W$71/2))</f>
        <v>486124.943013354</v>
      </c>
      <c r="CE312" s="101">
        <f>$W$76*CC312-$W$73*CD312</f>
        <v>14445596.4033056</v>
      </c>
      <c r="CF312" s="101">
        <f>IF(AND(CE311&lt;0,CE312&gt;=0,IF($W$73&gt;0,CC312&gt;0,IF($W$73&lt;0,CC311&lt;0,TRUE))),CA312,"")</f>
        <v/>
      </c>
    </row>
    <row r="313">
      <c r="CA313" t="n">
        <v>153</v>
      </c>
      <c r="CB313" s="101">
        <f>$W$71*CA313/200</f>
        <v>45.9</v>
      </c>
      <c r="CC313" s="101">
        <f>$W$72*CB313^2/2-$W$81*SUMPRODUCT(($Z$37:$Z$48&gt;CB313)*($Z$37:$Z$48-CB313))</f>
        <v>30653.1546407595</v>
      </c>
      <c r="CD313" s="101">
        <f>$W$72*CB313^2/2*($W$71/2-CB313/3)+$W$81*SUMPRODUCT(($Z$37:$Z$48&gt;CB313)*($Z$37:$Z$48-CB313)*($Z$37:$Z$48-$W$71/2))</f>
        <v>488276.488981013</v>
      </c>
      <c r="CE313" s="101">
        <f>$W$76*CC313-$W$73*CD313</f>
        <v>14756993.9329873</v>
      </c>
      <c r="CF313" s="101">
        <f>IF(AND(CE312&lt;0,CE313&gt;=0,IF($W$73&gt;0,CC313&gt;0,IF($W$73&lt;0,CC312&lt;0,TRUE))),CA313,"")</f>
        <v/>
      </c>
    </row>
    <row r="314">
      <c r="CA314" t="n">
        <v>154</v>
      </c>
      <c r="CB314" s="101">
        <f>$W$71*CA314/200</f>
        <v>46.2</v>
      </c>
      <c r="CC314" s="101">
        <f>$W$72*CB314^2/2-$W$81*SUMPRODUCT(($Z$37:$Z$48&gt;CB314)*($Z$37:$Z$48-CB314))</f>
        <v>31098.8902020531</v>
      </c>
      <c r="CD314" s="101">
        <f>$W$72*CB314^2/2*($W$71/2-CB314/3)+$W$81*SUMPRODUCT(($Z$37:$Z$48&gt;CB314)*($Z$37:$Z$48-CB314)*($Z$37:$Z$48-$W$71/2))</f>
        <v>490385.104948672</v>
      </c>
      <c r="CE314" s="101">
        <f>$W$76*CC314-$W$73*CD314</f>
        <v>15071410.0626691</v>
      </c>
      <c r="CF314" s="101">
        <f>IF(AND(CE313&lt;0,CE314&gt;=0,IF($W$73&gt;0,CC314&gt;0,IF($W$73&lt;0,CC313&lt;0,TRUE))),CA314,"")</f>
        <v/>
      </c>
    </row>
    <row r="315">
      <c r="CA315" t="n">
        <v>155</v>
      </c>
      <c r="CB315" s="101">
        <f>$W$71*CA315/200</f>
        <v>46.5</v>
      </c>
      <c r="CC315" s="101">
        <f>$W$72*CB315^2/2-$W$81*SUMPRODUCT(($Z$37:$Z$48&gt;CB315)*($Z$37:$Z$48-CB315))</f>
        <v>31547.3257633468</v>
      </c>
      <c r="CD315" s="101">
        <f>$W$72*CB315^2/2*($W$71/2-CB315/3)+$W$81*SUMPRODUCT(($Z$37:$Z$48&gt;CB315)*($Z$37:$Z$48-CB315)*($Z$37:$Z$48-$W$71/2))</f>
        <v>492449.980916331</v>
      </c>
      <c r="CE315" s="101">
        <f>$W$76*CC315-$W$73*CD315</f>
        <v>15388860.9923508</v>
      </c>
      <c r="CF315" s="101">
        <f>IF(AND(CE314&lt;0,CE315&gt;=0,IF($W$73&gt;0,CC315&gt;0,IF($W$73&lt;0,CC314&lt;0,TRUE))),CA315,"")</f>
        <v/>
      </c>
    </row>
    <row r="316">
      <c r="CA316" t="n">
        <v>156</v>
      </c>
      <c r="CB316" s="101">
        <f>$W$71*CA316/200</f>
        <v>46.8</v>
      </c>
      <c r="CC316" s="101">
        <f>$W$72*CB316^2/2-$W$81*SUMPRODUCT(($Z$37:$Z$48&gt;CB316)*($Z$37:$Z$48-CB316))</f>
        <v>31998.4613246404</v>
      </c>
      <c r="CD316" s="101">
        <f>$W$72*CB316^2/2*($W$71/2-CB316/3)+$W$81*SUMPRODUCT(($Z$37:$Z$48&gt;CB316)*($Z$37:$Z$48-CB316)*($Z$37:$Z$48-$W$71/2))</f>
        <v>494470.30688399</v>
      </c>
      <c r="CE316" s="101">
        <f>$W$76*CC316-$W$73*CD316</f>
        <v>15709362.9220325</v>
      </c>
      <c r="CF316" s="101">
        <f>IF(AND(CE315&lt;0,CE316&gt;=0,IF($W$73&gt;0,CC316&gt;0,IF($W$73&lt;0,CC315&lt;0,TRUE))),CA316,"")</f>
        <v/>
      </c>
    </row>
    <row r="317">
      <c r="CA317" t="n">
        <v>157</v>
      </c>
      <c r="CB317" s="101">
        <f>$W$71*CA317/200</f>
        <v>47.1</v>
      </c>
      <c r="CC317" s="101">
        <f>$W$72*CB317^2/2-$W$81*SUMPRODUCT(($Z$37:$Z$48&gt;CB317)*($Z$37:$Z$48-CB317))</f>
        <v>32452.2968859341</v>
      </c>
      <c r="CD317" s="101">
        <f>$W$72*CB317^2/2*($W$71/2-CB317/3)+$W$81*SUMPRODUCT(($Z$37:$Z$48&gt;CB317)*($Z$37:$Z$48-CB317)*($Z$37:$Z$48-$W$71/2))</f>
        <v>496445.272851648</v>
      </c>
      <c r="CE317" s="101">
        <f>$W$76*CC317-$W$73*CD317</f>
        <v>16032932.0517143</v>
      </c>
      <c r="CF317" s="101">
        <f>IF(AND(CE316&lt;0,CE317&gt;=0,IF($W$73&gt;0,CC317&gt;0,IF($W$73&lt;0,CC316&lt;0,TRUE))),CA317,"")</f>
        <v/>
      </c>
    </row>
    <row r="318">
      <c r="CA318" t="n">
        <v>158</v>
      </c>
      <c r="CB318" s="101">
        <f>$W$71*CA318/200</f>
        <v>47.4</v>
      </c>
      <c r="CC318" s="101">
        <f>$W$72*CB318^2/2-$W$81*SUMPRODUCT(($Z$37:$Z$48&gt;CB318)*($Z$37:$Z$48-CB318))</f>
        <v>32908.8324472277</v>
      </c>
      <c r="CD318" s="101">
        <f>$W$72*CB318^2/2*($W$71/2-CB318/3)+$W$81*SUMPRODUCT(($Z$37:$Z$48&gt;CB318)*($Z$37:$Z$48-CB318)*($Z$37:$Z$48-$W$71/2))</f>
        <v>498374.068819307</v>
      </c>
      <c r="CE318" s="101">
        <f>$W$76*CC318-$W$73*CD318</f>
        <v>16359584.581396</v>
      </c>
      <c r="CF318" s="101">
        <f>IF(AND(CE317&lt;0,CE318&gt;=0,IF($W$73&gt;0,CC318&gt;0,IF($W$73&lt;0,CC317&lt;0,TRUE))),CA318,"")</f>
        <v/>
      </c>
    </row>
    <row r="319">
      <c r="CA319" t="n">
        <v>159</v>
      </c>
      <c r="CB319" s="101">
        <f>$W$71*CA319/200</f>
        <v>47.7</v>
      </c>
      <c r="CC319" s="101">
        <f>$W$72*CB319^2/2-$W$81*SUMPRODUCT(($Z$37:$Z$48&gt;CB319)*($Z$37:$Z$48-CB319))</f>
        <v>33368.0680085214</v>
      </c>
      <c r="CD319" s="101">
        <f>$W$72*CB319^2/2*($W$71/2-CB319/3)+$W$81*SUMPRODUCT(($Z$37:$Z$48&gt;CB319)*($Z$37:$Z$48-CB319)*($Z$37:$Z$48-$W$71/2))</f>
        <v>500255.884786966</v>
      </c>
      <c r="CE319" s="101">
        <f>$W$76*CC319-$W$73*CD319</f>
        <v>16689336.7110778</v>
      </c>
      <c r="CF319" s="101">
        <f>IF(AND(CE318&lt;0,CE319&gt;=0,IF($W$73&gt;0,CC319&gt;0,IF($W$73&lt;0,CC318&lt;0,TRUE))),CA319,"")</f>
        <v/>
      </c>
    </row>
    <row r="320">
      <c r="CA320" t="n">
        <v>160</v>
      </c>
      <c r="CB320" s="101">
        <f>$W$71*CA320/200</f>
        <v>48.0</v>
      </c>
      <c r="CC320" s="101">
        <f>$W$72*CB320^2/2-$W$81*SUMPRODUCT(($Z$37:$Z$48&gt;CB320)*($Z$37:$Z$48-CB320))</f>
        <v>33830.003569815</v>
      </c>
      <c r="CD320" s="101">
        <f>$W$72*CB320^2/2*($W$71/2-CB320/3)+$W$81*SUMPRODUCT(($Z$37:$Z$48&gt;CB320)*($Z$37:$Z$48-CB320)*($Z$37:$Z$48-$W$71/2))</f>
        <v>502089.910754625</v>
      </c>
      <c r="CE320" s="101">
        <f>$W$76*CC320-$W$73*CD320</f>
        <v>17022204.6407595</v>
      </c>
      <c r="CF320" s="101">
        <f>IF(AND(CE319&lt;0,CE320&gt;=0,IF($W$73&gt;0,CC320&gt;0,IF($W$73&lt;0,CC319&lt;0,TRUE))),CA320,"")</f>
        <v/>
      </c>
    </row>
    <row r="321">
      <c r="CA321" t="n">
        <v>161</v>
      </c>
      <c r="CB321" s="101">
        <f>$W$71*CA321/200</f>
        <v>48.3</v>
      </c>
      <c r="CC321" s="101">
        <f>$W$72*CB321^2/2-$W$81*SUMPRODUCT(($Z$37:$Z$48&gt;CB321)*($Z$37:$Z$48-CB321))</f>
        <v>34294.6391311086</v>
      </c>
      <c r="CD321" s="101">
        <f>$W$72*CB321^2/2*($W$71/2-CB321/3)+$W$81*SUMPRODUCT(($Z$37:$Z$48&gt;CB321)*($Z$37:$Z$48-CB321)*($Z$37:$Z$48-$W$71/2))</f>
        <v>503875.336722284</v>
      </c>
      <c r="CE321" s="101">
        <f>$W$76*CC321-$W$73*CD321</f>
        <v>17358204.5704412</v>
      </c>
      <c r="CF321" s="101">
        <f>IF(AND(CE320&lt;0,CE321&gt;=0,IF($W$73&gt;0,CC321&gt;0,IF($W$73&lt;0,CC320&lt;0,TRUE))),CA321,"")</f>
        <v/>
      </c>
    </row>
    <row r="322">
      <c r="CA322" t="n">
        <v>162</v>
      </c>
      <c r="CB322" s="101">
        <f>$W$71*CA322/200</f>
        <v>48.6</v>
      </c>
      <c r="CC322" s="101">
        <f>$W$72*CB322^2/2-$W$81*SUMPRODUCT(($Z$37:$Z$48&gt;CB322)*($Z$37:$Z$48-CB322))</f>
        <v>34761.9746924023</v>
      </c>
      <c r="CD322" s="101">
        <f>$W$72*CB322^2/2*($W$71/2-CB322/3)+$W$81*SUMPRODUCT(($Z$37:$Z$48&gt;CB322)*($Z$37:$Z$48-CB322)*($Z$37:$Z$48-$W$71/2))</f>
        <v>505611.352689943</v>
      </c>
      <c r="CE322" s="101">
        <f>$W$76*CC322-$W$73*CD322</f>
        <v>17697352.700123</v>
      </c>
      <c r="CF322" s="101">
        <f>IF(AND(CE321&lt;0,CE322&gt;=0,IF($W$73&gt;0,CC322&gt;0,IF($W$73&lt;0,CC321&lt;0,TRUE))),CA322,"")</f>
        <v/>
      </c>
    </row>
    <row r="323">
      <c r="CA323" t="n">
        <v>163</v>
      </c>
      <c r="CB323" s="101">
        <f>$W$71*CA323/200</f>
        <v>48.9</v>
      </c>
      <c r="CC323" s="101">
        <f>$W$72*CB323^2/2-$W$81*SUMPRODUCT(($Z$37:$Z$48&gt;CB323)*($Z$37:$Z$48-CB323))</f>
        <v>35232.0102536959</v>
      </c>
      <c r="CD323" s="101">
        <f>$W$72*CB323^2/2*($W$71/2-CB323/3)+$W$81*SUMPRODUCT(($Z$37:$Z$48&gt;CB323)*($Z$37:$Z$48-CB323)*($Z$37:$Z$48-$W$71/2))</f>
        <v>507297.148657602</v>
      </c>
      <c r="CE323" s="101">
        <f>$W$76*CC323-$W$73*CD323</f>
        <v>18039665.2298047</v>
      </c>
      <c r="CF323" s="101">
        <f>IF(AND(CE322&lt;0,CE323&gt;=0,IF($W$73&gt;0,CC323&gt;0,IF($W$73&lt;0,CC322&lt;0,TRUE))),CA323,"")</f>
        <v/>
      </c>
    </row>
    <row r="324">
      <c r="CA324" t="n">
        <v>164</v>
      </c>
      <c r="CB324" s="101">
        <f>$W$71*CA324/200</f>
        <v>49.2</v>
      </c>
      <c r="CC324" s="101">
        <f>$W$72*CB324^2/2-$W$81*SUMPRODUCT(($Z$37:$Z$48&gt;CB324)*($Z$37:$Z$48-CB324))</f>
        <v>35704.7458149896</v>
      </c>
      <c r="CD324" s="101">
        <f>$W$72*CB324^2/2*($W$71/2-CB324/3)+$W$81*SUMPRODUCT(($Z$37:$Z$48&gt;CB324)*($Z$37:$Z$48-CB324)*($Z$37:$Z$48-$W$71/2))</f>
        <v>508931.914625261</v>
      </c>
      <c r="CE324" s="101">
        <f>$W$76*CC324-$W$73*CD324</f>
        <v>18385158.3594864</v>
      </c>
      <c r="CF324" s="101">
        <f>IF(AND(CE323&lt;0,CE324&gt;=0,IF($W$73&gt;0,CC324&gt;0,IF($W$73&lt;0,CC323&lt;0,TRUE))),CA324,"")</f>
        <v/>
      </c>
    </row>
    <row r="325">
      <c r="CA325" t="n">
        <v>165</v>
      </c>
      <c r="CB325" s="101">
        <f>$W$71*CA325/200</f>
        <v>49.5</v>
      </c>
      <c r="CC325" s="101">
        <f>$W$72*CB325^2/2-$W$81*SUMPRODUCT(($Z$37:$Z$48&gt;CB325)*($Z$37:$Z$48-CB325))</f>
        <v>36180.1813762832</v>
      </c>
      <c r="CD325" s="101">
        <f>$W$72*CB325^2/2*($W$71/2-CB325/3)+$W$81*SUMPRODUCT(($Z$37:$Z$48&gt;CB325)*($Z$37:$Z$48-CB325)*($Z$37:$Z$48-$W$71/2))</f>
        <v>510514.84059292</v>
      </c>
      <c r="CE325" s="101">
        <f>$W$76*CC325-$W$73*CD325</f>
        <v>18733848.2891682</v>
      </c>
      <c r="CF325" s="101">
        <f>IF(AND(CE324&lt;0,CE325&gt;=0,IF($W$73&gt;0,CC325&gt;0,IF($W$73&lt;0,CC324&lt;0,TRUE))),CA325,"")</f>
        <v/>
      </c>
    </row>
    <row r="326">
      <c r="CA326" t="n">
        <v>166</v>
      </c>
      <c r="CB326" s="101">
        <f>$W$71*CA326/200</f>
        <v>49.8</v>
      </c>
      <c r="CC326" s="101">
        <f>$W$72*CB326^2/2-$W$81*SUMPRODUCT(($Z$37:$Z$48&gt;CB326)*($Z$37:$Z$48-CB326))</f>
        <v>36658.3169375768</v>
      </c>
      <c r="CD326" s="101">
        <f>$W$72*CB326^2/2*($W$71/2-CB326/3)+$W$81*SUMPRODUCT(($Z$37:$Z$48&gt;CB326)*($Z$37:$Z$48-CB326)*($Z$37:$Z$48-$W$71/2))</f>
        <v>512045.116560579</v>
      </c>
      <c r="CE326" s="101">
        <f>$W$76*CC326-$W$73*CD326</f>
        <v>19085751.2188499</v>
      </c>
      <c r="CF326" s="101">
        <f>IF(AND(CE325&lt;0,CE326&gt;=0,IF($W$73&gt;0,CC326&gt;0,IF($W$73&lt;0,CC325&lt;0,TRUE))),CA326,"")</f>
        <v/>
      </c>
    </row>
    <row r="327">
      <c r="CA327" t="n">
        <v>167</v>
      </c>
      <c r="CB327" s="101">
        <f>$W$71*CA327/200</f>
        <v>50.1</v>
      </c>
      <c r="CC327" s="101">
        <f>$W$72*CB327^2/2-$W$81*SUMPRODUCT(($Z$37:$Z$48&gt;CB327)*($Z$37:$Z$48-CB327))</f>
        <v>37139.1524988705</v>
      </c>
      <c r="CD327" s="101">
        <f>$W$72*CB327^2/2*($W$71/2-CB327/3)+$W$81*SUMPRODUCT(($Z$37:$Z$48&gt;CB327)*($Z$37:$Z$48-CB327)*($Z$37:$Z$48-$W$71/2))</f>
        <v>513521.932528238</v>
      </c>
      <c r="CE327" s="101">
        <f>$W$76*CC327-$W$73*CD327</f>
        <v>19440883.3485316</v>
      </c>
      <c r="CF327" s="101">
        <f>IF(AND(CE326&lt;0,CE327&gt;=0,IF($W$73&gt;0,CC327&gt;0,IF($W$73&lt;0,CC326&lt;0,TRUE))),CA327,"")</f>
        <v/>
      </c>
    </row>
    <row r="328">
      <c r="CA328" t="n">
        <v>168</v>
      </c>
      <c r="CB328" s="101">
        <f>$W$71*CA328/200</f>
        <v>50.4</v>
      </c>
      <c r="CC328" s="101">
        <f>$W$72*CB328^2/2-$W$81*SUMPRODUCT(($Z$37:$Z$48&gt;CB328)*($Z$37:$Z$48-CB328))</f>
        <v>37622.6880601641</v>
      </c>
      <c r="CD328" s="101">
        <f>$W$72*CB328^2/2*($W$71/2-CB328/3)+$W$81*SUMPRODUCT(($Z$37:$Z$48&gt;CB328)*($Z$37:$Z$48-CB328)*($Z$37:$Z$48-$W$71/2))</f>
        <v>514944.478495896</v>
      </c>
      <c r="CE328" s="101">
        <f>$W$76*CC328-$W$73*CD328</f>
        <v>19799260.8782134</v>
      </c>
      <c r="CF328" s="101">
        <f>IF(AND(CE327&lt;0,CE328&gt;=0,IF($W$73&gt;0,CC328&gt;0,IF($W$73&lt;0,CC327&lt;0,TRUE))),CA328,"")</f>
        <v/>
      </c>
    </row>
    <row r="329">
      <c r="CA329" t="n">
        <v>169</v>
      </c>
      <c r="CB329" s="101">
        <f>$W$71*CA329/200</f>
        <v>50.7</v>
      </c>
      <c r="CC329" s="101">
        <f>$W$72*CB329^2/2-$W$81*SUMPRODUCT(($Z$37:$Z$48&gt;CB329)*($Z$37:$Z$48-CB329))</f>
        <v>38108.9236214578</v>
      </c>
      <c r="CD329" s="101">
        <f>$W$72*CB329^2/2*($W$71/2-CB329/3)+$W$81*SUMPRODUCT(($Z$37:$Z$48&gt;CB329)*($Z$37:$Z$48-CB329)*($Z$37:$Z$48-$W$71/2))</f>
        <v>516311.944463555</v>
      </c>
      <c r="CE329" s="101">
        <f>$W$76*CC329-$W$73*CD329</f>
        <v>20160900.0078951</v>
      </c>
      <c r="CF329" s="101">
        <f>IF(AND(CE328&lt;0,CE329&gt;=0,IF($W$73&gt;0,CC329&gt;0,IF($W$73&lt;0,CC328&lt;0,TRUE))),CA329,"")</f>
        <v/>
      </c>
    </row>
    <row r="330">
      <c r="CA330" t="n">
        <v>170</v>
      </c>
      <c r="CB330" s="101">
        <f>$W$71*CA330/200</f>
        <v>51.0</v>
      </c>
      <c r="CC330" s="101">
        <f>$W$72*CB330^2/2-$W$81*SUMPRODUCT(($Z$37:$Z$48&gt;CB330)*($Z$37:$Z$48-CB330))</f>
        <v>38597.8591827514</v>
      </c>
      <c r="CD330" s="101">
        <f>$W$72*CB330^2/2*($W$71/2-CB330/3)+$W$81*SUMPRODUCT(($Z$37:$Z$48&gt;CB330)*($Z$37:$Z$48-CB330)*($Z$37:$Z$48-$W$71/2))</f>
        <v>517623.520431214</v>
      </c>
      <c r="CE330" s="101">
        <f>$W$76*CC330-$W$73*CD330</f>
        <v>20525816.9375769</v>
      </c>
      <c r="CF330" s="101">
        <f>IF(AND(CE329&lt;0,CE330&gt;=0,IF($W$73&gt;0,CC330&gt;0,IF($W$73&lt;0,CC329&lt;0,TRUE))),CA330,"")</f>
        <v/>
      </c>
    </row>
    <row r="331">
      <c r="CA331" t="n">
        <v>171</v>
      </c>
      <c r="CB331" s="101">
        <f>$W$71*CA331/200</f>
        <v>51.3</v>
      </c>
      <c r="CC331" s="101">
        <f>$W$72*CB331^2/2-$W$81*SUMPRODUCT(($Z$37:$Z$48&gt;CB331)*($Z$37:$Z$48-CB331))</f>
        <v>39089.4947440451</v>
      </c>
      <c r="CD331" s="101">
        <f>$W$72*CB331^2/2*($W$71/2-CB331/3)+$W$81*SUMPRODUCT(($Z$37:$Z$48&gt;CB331)*($Z$37:$Z$48-CB331)*($Z$37:$Z$48-$W$71/2))</f>
        <v>518878.396398873</v>
      </c>
      <c r="CE331" s="101">
        <f>$W$76*CC331-$W$73*CD331</f>
        <v>20894027.8672586</v>
      </c>
      <c r="CF331" s="101">
        <f>IF(AND(CE330&lt;0,CE331&gt;=0,IF($W$73&gt;0,CC331&gt;0,IF($W$73&lt;0,CC330&lt;0,TRUE))),CA331,"")</f>
        <v/>
      </c>
    </row>
    <row r="332">
      <c r="CA332" t="n">
        <v>172</v>
      </c>
      <c r="CB332" s="101">
        <f>$W$71*CA332/200</f>
        <v>51.6</v>
      </c>
      <c r="CC332" s="101">
        <f>$W$72*CB332^2/2-$W$81*SUMPRODUCT(($Z$37:$Z$48&gt;CB332)*($Z$37:$Z$48-CB332))</f>
        <v>39583.8303053387</v>
      </c>
      <c r="CD332" s="101">
        <f>$W$72*CB332^2/2*($W$71/2-CB332/3)+$W$81*SUMPRODUCT(($Z$37:$Z$48&gt;CB332)*($Z$37:$Z$48-CB332)*($Z$37:$Z$48-$W$71/2))</f>
        <v>520075.762366532</v>
      </c>
      <c r="CE332" s="101">
        <f>$W$76*CC332-$W$73*CD332</f>
        <v>21265548.9969403</v>
      </c>
      <c r="CF332" s="101">
        <f>IF(AND(CE331&lt;0,CE332&gt;=0,IF($W$73&gt;0,CC332&gt;0,IF($W$73&lt;0,CC331&lt;0,TRUE))),CA332,"")</f>
        <v/>
      </c>
    </row>
    <row r="333">
      <c r="CA333" t="n">
        <v>173</v>
      </c>
      <c r="CB333" s="101">
        <f>$W$71*CA333/200</f>
        <v>51.9</v>
      </c>
      <c r="CC333" s="101">
        <f>$W$72*CB333^2/2-$W$81*SUMPRODUCT(($Z$37:$Z$48&gt;CB333)*($Z$37:$Z$48-CB333))</f>
        <v>40080.8658666323</v>
      </c>
      <c r="CD333" s="101">
        <f>$W$72*CB333^2/2*($W$71/2-CB333/3)+$W$81*SUMPRODUCT(($Z$37:$Z$48&gt;CB333)*($Z$37:$Z$48-CB333)*($Z$37:$Z$48-$W$71/2))</f>
        <v>521214.808334191</v>
      </c>
      <c r="CE333" s="101">
        <f>$W$76*CC333-$W$73*CD333</f>
        <v>21640396.5266221</v>
      </c>
      <c r="CF333" s="101">
        <f>IF(AND(CE332&lt;0,CE333&gt;=0,IF($W$73&gt;0,CC333&gt;0,IF($W$73&lt;0,CC332&lt;0,TRUE))),CA333,"")</f>
        <v/>
      </c>
    </row>
    <row r="334">
      <c r="CA334" t="n">
        <v>174</v>
      </c>
      <c r="CB334" s="101">
        <f>$W$71*CA334/200</f>
        <v>52.2</v>
      </c>
      <c r="CC334" s="101">
        <f>$W$72*CB334^2/2-$W$81*SUMPRODUCT(($Z$37:$Z$48&gt;CB334)*($Z$37:$Z$48-CB334))</f>
        <v>40580.601427926</v>
      </c>
      <c r="CD334" s="101">
        <f>$W$72*CB334^2/2*($W$71/2-CB334/3)+$W$81*SUMPRODUCT(($Z$37:$Z$48&gt;CB334)*($Z$37:$Z$48-CB334)*($Z$37:$Z$48-$W$71/2))</f>
        <v>522294.72430185</v>
      </c>
      <c r="CE334" s="101">
        <f>$W$76*CC334-$W$73*CD334</f>
        <v>22018586.6563038</v>
      </c>
      <c r="CF334" s="101">
        <f>IF(AND(CE333&lt;0,CE334&gt;=0,IF($W$73&gt;0,CC334&gt;0,IF($W$73&lt;0,CC333&lt;0,TRUE))),CA334,"")</f>
        <v/>
      </c>
    </row>
    <row r="335">
      <c r="CA335" t="n">
        <v>175</v>
      </c>
      <c r="CB335" s="101">
        <f>$W$71*CA335/200</f>
        <v>52.5</v>
      </c>
      <c r="CC335" s="101">
        <f>$W$72*CB335^2/2-$W$81*SUMPRODUCT(($Z$37:$Z$48&gt;CB335)*($Z$37:$Z$48-CB335))</f>
        <v>41083.0369892196</v>
      </c>
      <c r="CD335" s="101">
        <f>$W$72*CB335^2/2*($W$71/2-CB335/3)+$W$81*SUMPRODUCT(($Z$37:$Z$48&gt;CB335)*($Z$37:$Z$48-CB335)*($Z$37:$Z$48-$W$71/2))</f>
        <v>523314.700269509</v>
      </c>
      <c r="CE335" s="101">
        <f>$W$76*CC335-$W$73*CD335</f>
        <v>22400135.5859855</v>
      </c>
      <c r="CF335" s="101">
        <f>IF(AND(CE334&lt;0,CE335&gt;=0,IF($W$73&gt;0,CC335&gt;0,IF($W$73&lt;0,CC334&lt;0,TRUE))),CA335,"")</f>
        <v/>
      </c>
    </row>
    <row r="336">
      <c r="CA336" t="n">
        <v>176</v>
      </c>
      <c r="CB336" s="101">
        <f>$W$71*CA336/200</f>
        <v>52.8</v>
      </c>
      <c r="CC336" s="101">
        <f>$W$72*CB336^2/2-$W$81*SUMPRODUCT(($Z$37:$Z$48&gt;CB336)*($Z$37:$Z$48-CB336))</f>
        <v>41588.1725505133</v>
      </c>
      <c r="CD336" s="101">
        <f>$W$72*CB336^2/2*($W$71/2-CB336/3)+$W$81*SUMPRODUCT(($Z$37:$Z$48&gt;CB336)*($Z$37:$Z$48-CB336)*($Z$37:$Z$48-$W$71/2))</f>
        <v>524273.926237168</v>
      </c>
      <c r="CE336" s="101">
        <f>$W$76*CC336-$W$73*CD336</f>
        <v>22785059.5156673</v>
      </c>
      <c r="CF336" s="101">
        <f>IF(AND(CE335&lt;0,CE336&gt;=0,IF($W$73&gt;0,CC336&gt;0,IF($W$73&lt;0,CC335&lt;0,TRUE))),CA336,"")</f>
        <v/>
      </c>
    </row>
    <row r="337">
      <c r="CA337" t="n">
        <v>177</v>
      </c>
      <c r="CB337" s="101">
        <f>$W$71*CA337/200</f>
        <v>53.1</v>
      </c>
      <c r="CC337" s="101">
        <f>$W$72*CB337^2/2-$W$81*SUMPRODUCT(($Z$37:$Z$48&gt;CB337)*($Z$37:$Z$48-CB337))</f>
        <v>42096.0081118069</v>
      </c>
      <c r="CD337" s="101">
        <f>$W$72*CB337^2/2*($W$71/2-CB337/3)+$W$81*SUMPRODUCT(($Z$37:$Z$48&gt;CB337)*($Z$37:$Z$48-CB337)*($Z$37:$Z$48-$W$71/2))</f>
        <v>525171.592204827</v>
      </c>
      <c r="CE337" s="101">
        <f>$W$76*CC337-$W$73*CD337</f>
        <v>23173374.645349</v>
      </c>
      <c r="CF337" s="101">
        <f>IF(AND(CE336&lt;0,CE337&gt;=0,IF($W$73&gt;0,CC337&gt;0,IF($W$73&lt;0,CC336&lt;0,TRUE))),CA337,"")</f>
        <v/>
      </c>
    </row>
    <row r="338">
      <c r="CA338" t="n">
        <v>178</v>
      </c>
      <c r="CB338" s="101">
        <f>$W$71*CA338/200</f>
        <v>53.4</v>
      </c>
      <c r="CC338" s="101">
        <f>$W$72*CB338^2/2-$W$81*SUMPRODUCT(($Z$37:$Z$48&gt;CB338)*($Z$37:$Z$48-CB338))</f>
        <v>42606.5436731006</v>
      </c>
      <c r="CD338" s="101">
        <f>$W$72*CB338^2/2*($W$71/2-CB338/3)+$W$81*SUMPRODUCT(($Z$37:$Z$48&gt;CB338)*($Z$37:$Z$48-CB338)*($Z$37:$Z$48-$W$71/2))</f>
        <v>526006.888172486</v>
      </c>
      <c r="CE338" s="101">
        <f>$W$76*CC338-$W$73*CD338</f>
        <v>23565097.1750307</v>
      </c>
      <c r="CF338" s="101">
        <f>IF(AND(CE337&lt;0,CE338&gt;=0,IF($W$73&gt;0,CC338&gt;0,IF($W$73&lt;0,CC337&lt;0,TRUE))),CA338,"")</f>
        <v/>
      </c>
    </row>
    <row r="339">
      <c r="CA339" t="n">
        <v>179</v>
      </c>
      <c r="CB339" s="101">
        <f>$W$71*CA339/200</f>
        <v>53.7</v>
      </c>
      <c r="CC339" s="101">
        <f>$W$72*CB339^2/2-$W$81*SUMPRODUCT(($Z$37:$Z$48&gt;CB339)*($Z$37:$Z$48-CB339))</f>
        <v>43119.7792343942</v>
      </c>
      <c r="CD339" s="101">
        <f>$W$72*CB339^2/2*($W$71/2-CB339/3)+$W$81*SUMPRODUCT(($Z$37:$Z$48&gt;CB339)*($Z$37:$Z$48-CB339)*($Z$37:$Z$48-$W$71/2))</f>
        <v>526779.004140145</v>
      </c>
      <c r="CE339" s="101">
        <f>$W$76*CC339-$W$73*CD339</f>
        <v>23960243.3047125</v>
      </c>
      <c r="CF339" s="101">
        <f>IF(AND(CE338&lt;0,CE339&gt;=0,IF($W$73&gt;0,CC339&gt;0,IF($W$73&lt;0,CC338&lt;0,TRUE))),CA339,"")</f>
        <v/>
      </c>
    </row>
    <row r="340">
      <c r="CA340" t="n">
        <v>180</v>
      </c>
      <c r="CB340" s="101">
        <f>$W$71*CA340/200</f>
        <v>54.0</v>
      </c>
      <c r="CC340" s="101">
        <f>$W$72*CB340^2/2-$W$81*SUMPRODUCT(($Z$37:$Z$48&gt;CB340)*($Z$37:$Z$48-CB340))</f>
        <v>43635.7147956879</v>
      </c>
      <c r="CD340" s="101">
        <f>$W$72*CB340^2/2*($W$71/2-CB340/3)+$W$81*SUMPRODUCT(($Z$37:$Z$48&gt;CB340)*($Z$37:$Z$48-CB340)*($Z$37:$Z$48-$W$71/2))</f>
        <v>527487.130107804</v>
      </c>
      <c r="CE340" s="101">
        <f>$W$76*CC340-$W$73*CD340</f>
        <v>24358829.2343942</v>
      </c>
      <c r="CF340" s="101">
        <f>IF(AND(CE339&lt;0,CE340&gt;=0,IF($W$73&gt;0,CC340&gt;0,IF($W$73&lt;0,CC339&lt;0,TRUE))),CA340,"")</f>
        <v/>
      </c>
    </row>
    <row r="341">
      <c r="CA341" t="n">
        <v>181</v>
      </c>
      <c r="CB341" s="101">
        <f>$W$71*CA341/200</f>
        <v>54.3</v>
      </c>
      <c r="CC341" s="101">
        <f>$W$72*CB341^2/2-$W$81*SUMPRODUCT(($Z$37:$Z$48&gt;CB341)*($Z$37:$Z$48-CB341))</f>
        <v>44154.3503569815</v>
      </c>
      <c r="CD341" s="101">
        <f>$W$72*CB341^2/2*($W$71/2-CB341/3)+$W$81*SUMPRODUCT(($Z$37:$Z$48&gt;CB341)*($Z$37:$Z$48-CB341)*($Z$37:$Z$48-$W$71/2))</f>
        <v>528130.456075463</v>
      </c>
      <c r="CE341" s="101">
        <f>$W$76*CC341-$W$73*CD341</f>
        <v>24760871.164076</v>
      </c>
      <c r="CF341" s="101">
        <f>IF(AND(CE340&lt;0,CE341&gt;=0,IF($W$73&gt;0,CC341&gt;0,IF($W$73&lt;0,CC340&lt;0,TRUE))),CA341,"")</f>
        <v/>
      </c>
    </row>
    <row r="342">
      <c r="CA342" t="n">
        <v>182</v>
      </c>
      <c r="CB342" s="101">
        <f>$W$71*CA342/200</f>
        <v>54.6</v>
      </c>
      <c r="CC342" s="101">
        <f>$W$72*CB342^2/2-$W$81*SUMPRODUCT(($Z$37:$Z$48&gt;CB342)*($Z$37:$Z$48-CB342))</f>
        <v>44675.6859182751</v>
      </c>
      <c r="CD342" s="101">
        <f>$W$72*CB342^2/2*($W$71/2-CB342/3)+$W$81*SUMPRODUCT(($Z$37:$Z$48&gt;CB342)*($Z$37:$Z$48-CB342)*($Z$37:$Z$48-$W$71/2))</f>
        <v>528708.172043122</v>
      </c>
      <c r="CE342" s="101">
        <f>$W$76*CC342-$W$73*CD342</f>
        <v>25166385.2937577</v>
      </c>
      <c r="CF342" s="101">
        <f>IF(AND(CE341&lt;0,CE342&gt;=0,IF($W$73&gt;0,CC342&gt;0,IF($W$73&lt;0,CC341&lt;0,TRUE))),CA342,"")</f>
        <v/>
      </c>
    </row>
    <row r="343">
      <c r="CA343" t="n">
        <v>183</v>
      </c>
      <c r="CB343" s="101">
        <f>$W$71*CA343/200</f>
        <v>54.9</v>
      </c>
      <c r="CC343" s="101">
        <f>$W$72*CB343^2/2-$W$81*SUMPRODUCT(($Z$37:$Z$48&gt;CB343)*($Z$37:$Z$48-CB343))</f>
        <v>45199.7214795688</v>
      </c>
      <c r="CD343" s="101">
        <f>$W$72*CB343^2/2*($W$71/2-CB343/3)+$W$81*SUMPRODUCT(($Z$37:$Z$48&gt;CB343)*($Z$37:$Z$48-CB343)*($Z$37:$Z$48-$W$71/2))</f>
        <v>529219.46801078</v>
      </c>
      <c r="CE343" s="101">
        <f>$W$76*CC343-$W$73*CD343</f>
        <v>25575387.8234394</v>
      </c>
      <c r="CF343" s="101">
        <f>IF(AND(CE342&lt;0,CE343&gt;=0,IF($W$73&gt;0,CC343&gt;0,IF($W$73&lt;0,CC342&lt;0,TRUE))),CA343,"")</f>
        <v/>
      </c>
    </row>
    <row r="344">
      <c r="CA344" t="n">
        <v>184</v>
      </c>
      <c r="CB344" s="101">
        <f>$W$71*CA344/200</f>
        <v>55.2</v>
      </c>
      <c r="CC344" s="101">
        <f>$W$72*CB344^2/2-$W$81*SUMPRODUCT(($Z$37:$Z$48&gt;CB344)*($Z$37:$Z$48-CB344))</f>
        <v>45705.6</v>
      </c>
      <c r="CD344" s="101">
        <f>$W$72*CB344^2/2*($W$71/2-CB344/3)+$W$81*SUMPRODUCT(($Z$37:$Z$48&gt;CB344)*($Z$37:$Z$48-CB344)*($Z$37:$Z$48-$W$71/2))</f>
        <v>530184.96</v>
      </c>
      <c r="CE344" s="101">
        <f>$W$76*CC344-$W$73*CD344</f>
        <v>25960780.8</v>
      </c>
      <c r="CF344" s="101">
        <f>IF(AND(CE343&lt;0,CE344&gt;=0,IF($W$73&gt;0,CC344&gt;0,IF($W$73&lt;0,CC343&lt;0,TRUE))),CA344,"")</f>
        <v/>
      </c>
    </row>
    <row r="345">
      <c r="CA345" t="n">
        <v>185</v>
      </c>
      <c r="CB345" s="101">
        <f>$W$71*CA345/200</f>
        <v>55.5</v>
      </c>
      <c r="CC345" s="101">
        <f>$W$72*CB345^2/2-$W$81*SUMPRODUCT(($Z$37:$Z$48&gt;CB345)*($Z$37:$Z$48-CB345))</f>
        <v>46203.75</v>
      </c>
      <c r="CD345" s="101">
        <f>$W$72*CB345^2/2*($W$71/2-CB345/3)+$W$81*SUMPRODUCT(($Z$37:$Z$48&gt;CB345)*($Z$37:$Z$48-CB345)*($Z$37:$Z$48-$W$71/2))</f>
        <v>531343.125</v>
      </c>
      <c r="CE345" s="101">
        <f>$W$76*CC345-$W$73*CD345</f>
        <v>26336137.5</v>
      </c>
      <c r="CF345" s="101">
        <f>IF(AND(CE344&lt;0,CE345&gt;=0,IF($W$73&gt;0,CC345&gt;0,IF($W$73&lt;0,CC344&lt;0,TRUE))),CA345,"")</f>
        <v/>
      </c>
    </row>
    <row r="346">
      <c r="CA346" t="n">
        <v>186</v>
      </c>
      <c r="CB346" s="101">
        <f>$W$71*CA346/200</f>
        <v>55.8</v>
      </c>
      <c r="CC346" s="101">
        <f>$W$72*CB346^2/2-$W$81*SUMPRODUCT(($Z$37:$Z$48&gt;CB346)*($Z$37:$Z$48-CB346))</f>
        <v>46704.6</v>
      </c>
      <c r="CD346" s="101">
        <f>$W$72*CB346^2/2*($W$71/2-CB346/3)+$W$81*SUMPRODUCT(($Z$37:$Z$48&gt;CB346)*($Z$37:$Z$48-CB346)*($Z$37:$Z$48-$W$71/2))</f>
        <v>532432.44</v>
      </c>
      <c r="CE346" s="101">
        <f>$W$76*CC346-$W$73*CD346</f>
        <v>26715031.2</v>
      </c>
      <c r="CF346" s="101">
        <f>IF(AND(CE345&lt;0,CE346&gt;=0,IF($W$73&gt;0,CC346&gt;0,IF($W$73&lt;0,CC345&lt;0,TRUE))),CA346,"")</f>
        <v/>
      </c>
    </row>
    <row r="347">
      <c r="CA347" t="n">
        <v>187</v>
      </c>
      <c r="CB347" s="101">
        <f>$W$71*CA347/200</f>
        <v>56.1</v>
      </c>
      <c r="CC347" s="101">
        <f>$W$72*CB347^2/2-$W$81*SUMPRODUCT(($Z$37:$Z$48&gt;CB347)*($Z$37:$Z$48-CB347))</f>
        <v>47208.15</v>
      </c>
      <c r="CD347" s="101">
        <f>$W$72*CB347^2/2*($W$71/2-CB347/3)+$W$81*SUMPRODUCT(($Z$37:$Z$48&gt;CB347)*($Z$37:$Z$48-CB347)*($Z$37:$Z$48-$W$71/2))</f>
        <v>533452.095</v>
      </c>
      <c r="CE347" s="101">
        <f>$W$76*CC347-$W$73*CD347</f>
        <v>27097478.1</v>
      </c>
      <c r="CF347" s="101">
        <f>IF(AND(CE346&lt;0,CE347&gt;=0,IF($W$73&gt;0,CC347&gt;0,IF($W$73&lt;0,CC346&lt;0,TRUE))),CA347,"")</f>
        <v/>
      </c>
    </row>
    <row r="348">
      <c r="CA348" t="n">
        <v>188</v>
      </c>
      <c r="CB348" s="101">
        <f>$W$71*CA348/200</f>
        <v>56.4</v>
      </c>
      <c r="CC348" s="101">
        <f>$W$72*CB348^2/2-$W$81*SUMPRODUCT(($Z$37:$Z$48&gt;CB348)*($Z$37:$Z$48-CB348))</f>
        <v>47714.4</v>
      </c>
      <c r="CD348" s="101">
        <f>$W$72*CB348^2/2*($W$71/2-CB348/3)+$W$81*SUMPRODUCT(($Z$37:$Z$48&gt;CB348)*($Z$37:$Z$48-CB348)*($Z$37:$Z$48-$W$71/2))</f>
        <v>534401.28</v>
      </c>
      <c r="CE348" s="101">
        <f>$W$76*CC348-$W$73*CD348</f>
        <v>27483494.4</v>
      </c>
      <c r="CF348" s="101">
        <f>IF(AND(CE347&lt;0,CE348&gt;=0,IF($W$73&gt;0,CC348&gt;0,IF($W$73&lt;0,CC347&lt;0,TRUE))),CA348,"")</f>
        <v/>
      </c>
    </row>
    <row r="349">
      <c r="CA349" t="n">
        <v>189</v>
      </c>
      <c r="CB349" s="101">
        <f>$W$71*CA349/200</f>
        <v>56.7</v>
      </c>
      <c r="CC349" s="101">
        <f>$W$72*CB349^2/2-$W$81*SUMPRODUCT(($Z$37:$Z$48&gt;CB349)*($Z$37:$Z$48-CB349))</f>
        <v>48223.35</v>
      </c>
      <c r="CD349" s="101">
        <f>$W$72*CB349^2/2*($W$71/2-CB349/3)+$W$81*SUMPRODUCT(($Z$37:$Z$48&gt;CB349)*($Z$37:$Z$48-CB349)*($Z$37:$Z$48-$W$71/2))</f>
        <v>535279.185</v>
      </c>
      <c r="CE349" s="101">
        <f>$W$76*CC349-$W$73*CD349</f>
        <v>27873096.3</v>
      </c>
      <c r="CF349" s="101">
        <f>IF(AND(CE348&lt;0,CE349&gt;=0,IF($W$73&gt;0,CC349&gt;0,IF($W$73&lt;0,CC348&lt;0,TRUE))),CA349,"")</f>
        <v/>
      </c>
    </row>
    <row r="350">
      <c r="CA350" t="n">
        <v>190</v>
      </c>
      <c r="CB350" s="101">
        <f>$W$71*CA350/200</f>
        <v>57.0</v>
      </c>
      <c r="CC350" s="101">
        <f>$W$72*CB350^2/2-$W$81*SUMPRODUCT(($Z$37:$Z$48&gt;CB350)*($Z$37:$Z$48-CB350))</f>
        <v>48735.0</v>
      </c>
      <c r="CD350" s="101">
        <f>$W$72*CB350^2/2*($W$71/2-CB350/3)+$W$81*SUMPRODUCT(($Z$37:$Z$48&gt;CB350)*($Z$37:$Z$48-CB350)*($Z$37:$Z$48-$W$71/2))</f>
        <v>536085.0</v>
      </c>
      <c r="CE350" s="101">
        <f>$W$76*CC350-$W$73*CD350</f>
        <v>28266300.0</v>
      </c>
      <c r="CF350" s="101">
        <f>IF(AND(CE349&lt;0,CE350&gt;=0,IF($W$73&gt;0,CC350&gt;0,IF($W$73&lt;0,CC349&lt;0,TRUE))),CA350,"")</f>
        <v/>
      </c>
    </row>
    <row r="351">
      <c r="CA351" t="n">
        <v>191</v>
      </c>
      <c r="CB351" s="101">
        <f>$W$71*CA351/200</f>
        <v>57.3</v>
      </c>
      <c r="CC351" s="101">
        <f>$W$72*CB351^2/2-$W$81*SUMPRODUCT(($Z$37:$Z$48&gt;CB351)*($Z$37:$Z$48-CB351))</f>
        <v>49249.35</v>
      </c>
      <c r="CD351" s="101">
        <f>$W$72*CB351^2/2*($W$71/2-CB351/3)+$W$81*SUMPRODUCT(($Z$37:$Z$48&gt;CB351)*($Z$37:$Z$48-CB351)*($Z$37:$Z$48-$W$71/2))</f>
        <v>536817.915</v>
      </c>
      <c r="CE351" s="101">
        <f>$W$76*CC351-$W$73*CD351</f>
        <v>28663121.7</v>
      </c>
      <c r="CF351" s="101">
        <f>IF(AND(CE350&lt;0,CE351&gt;=0,IF($W$73&gt;0,CC351&gt;0,IF($W$73&lt;0,CC350&lt;0,TRUE))),CA351,"")</f>
        <v/>
      </c>
    </row>
    <row r="352">
      <c r="CA352" t="n">
        <v>192</v>
      </c>
      <c r="CB352" s="101">
        <f>$W$71*CA352/200</f>
        <v>57.6</v>
      </c>
      <c r="CC352" s="101">
        <f>$W$72*CB352^2/2-$W$81*SUMPRODUCT(($Z$37:$Z$48&gt;CB352)*($Z$37:$Z$48-CB352))</f>
        <v>49766.4</v>
      </c>
      <c r="CD352" s="101">
        <f>$W$72*CB352^2/2*($W$71/2-CB352/3)+$W$81*SUMPRODUCT(($Z$37:$Z$48&gt;CB352)*($Z$37:$Z$48-CB352)*($Z$37:$Z$48-$W$71/2))</f>
        <v>537477.12</v>
      </c>
      <c r="CE352" s="101">
        <f>$W$76*CC352-$W$73*CD352</f>
        <v>29063577.6</v>
      </c>
      <c r="CF352" s="101">
        <f>IF(AND(CE351&lt;0,CE352&gt;=0,IF($W$73&gt;0,CC352&gt;0,IF($W$73&lt;0,CC351&lt;0,TRUE))),CA352,"")</f>
        <v/>
      </c>
    </row>
    <row r="353">
      <c r="CA353" t="n">
        <v>193</v>
      </c>
      <c r="CB353" s="101">
        <f>$W$71*CA353/200</f>
        <v>57.9</v>
      </c>
      <c r="CC353" s="101">
        <f>$W$72*CB353^2/2-$W$81*SUMPRODUCT(($Z$37:$Z$48&gt;CB353)*($Z$37:$Z$48-CB353))</f>
        <v>50286.15</v>
      </c>
      <c r="CD353" s="101">
        <f>$W$72*CB353^2/2*($W$71/2-CB353/3)+$W$81*SUMPRODUCT(($Z$37:$Z$48&gt;CB353)*($Z$37:$Z$48-CB353)*($Z$37:$Z$48-$W$71/2))</f>
        <v>538061.805</v>
      </c>
      <c r="CE353" s="101">
        <f>$W$76*CC353-$W$73*CD353</f>
        <v>29467683.9</v>
      </c>
      <c r="CF353" s="101">
        <f>IF(AND(CE352&lt;0,CE353&gt;=0,IF($W$73&gt;0,CC353&gt;0,IF($W$73&lt;0,CC352&lt;0,TRUE))),CA353,"")</f>
        <v/>
      </c>
    </row>
    <row r="354">
      <c r="CA354" t="n">
        <v>194</v>
      </c>
      <c r="CB354" s="101">
        <f>$W$71*CA354/200</f>
        <v>58.2</v>
      </c>
      <c r="CC354" s="101">
        <f>$W$72*CB354^2/2-$W$81*SUMPRODUCT(($Z$37:$Z$48&gt;CB354)*($Z$37:$Z$48-CB354))</f>
        <v>50808.6</v>
      </c>
      <c r="CD354" s="101">
        <f>$W$72*CB354^2/2*($W$71/2-CB354/3)+$W$81*SUMPRODUCT(($Z$37:$Z$48&gt;CB354)*($Z$37:$Z$48-CB354)*($Z$37:$Z$48-$W$71/2))</f>
        <v>538571.16</v>
      </c>
      <c r="CE354" s="101">
        <f>$W$76*CC354-$W$73*CD354</f>
        <v>29875456.8</v>
      </c>
      <c r="CF354" s="101">
        <f>IF(AND(CE353&lt;0,CE354&gt;=0,IF($W$73&gt;0,CC354&gt;0,IF($W$73&lt;0,CC353&lt;0,TRUE))),CA354,"")</f>
        <v/>
      </c>
    </row>
    <row r="355">
      <c r="CA355" t="n">
        <v>195</v>
      </c>
      <c r="CB355" s="101">
        <f>$W$71*CA355/200</f>
        <v>58.5</v>
      </c>
      <c r="CC355" s="101">
        <f>$W$72*CB355^2/2-$W$81*SUMPRODUCT(($Z$37:$Z$48&gt;CB355)*($Z$37:$Z$48-CB355))</f>
        <v>51333.75</v>
      </c>
      <c r="CD355" s="101">
        <f>$W$72*CB355^2/2*($W$71/2-CB355/3)+$W$81*SUMPRODUCT(($Z$37:$Z$48&gt;CB355)*($Z$37:$Z$48-CB355)*($Z$37:$Z$48-$W$71/2))</f>
        <v>539004.375</v>
      </c>
      <c r="CE355" s="101">
        <f>$W$76*CC355-$W$73*CD355</f>
        <v>30286912.5</v>
      </c>
      <c r="CF355" s="101">
        <f>IF(AND(CE354&lt;0,CE355&gt;=0,IF($W$73&gt;0,CC355&gt;0,IF($W$73&lt;0,CC354&lt;0,TRUE))),CA355,"")</f>
        <v/>
      </c>
    </row>
    <row r="356">
      <c r="CA356" t="n">
        <v>196</v>
      </c>
      <c r="CB356" s="101">
        <f>$W$71*CA356/200</f>
        <v>58.8</v>
      </c>
      <c r="CC356" s="101">
        <f>$W$72*CB356^2/2-$W$81*SUMPRODUCT(($Z$37:$Z$48&gt;CB356)*($Z$37:$Z$48-CB356))</f>
        <v>51861.6</v>
      </c>
      <c r="CD356" s="101">
        <f>$W$72*CB356^2/2*($W$71/2-CB356/3)+$W$81*SUMPRODUCT(($Z$37:$Z$48&gt;CB356)*($Z$37:$Z$48-CB356)*($Z$37:$Z$48-$W$71/2))</f>
        <v>539360.64</v>
      </c>
      <c r="CE356" s="101">
        <f>$W$76*CC356-$W$73*CD356</f>
        <v>30702067.2</v>
      </c>
      <c r="CF356" s="101">
        <f>IF(AND(CE355&lt;0,CE356&gt;=0,IF($W$73&gt;0,CC356&gt;0,IF($W$73&lt;0,CC355&lt;0,TRUE))),CA356,"")</f>
        <v/>
      </c>
    </row>
    <row r="357">
      <c r="CA357" t="n">
        <v>197</v>
      </c>
      <c r="CB357" s="101">
        <f>$W$71*CA357/200</f>
        <v>59.1</v>
      </c>
      <c r="CC357" s="101">
        <f>$W$72*CB357^2/2-$W$81*SUMPRODUCT(($Z$37:$Z$48&gt;CB357)*($Z$37:$Z$48-CB357))</f>
        <v>52392.15</v>
      </c>
      <c r="CD357" s="101">
        <f>$W$72*CB357^2/2*($W$71/2-CB357/3)+$W$81*SUMPRODUCT(($Z$37:$Z$48&gt;CB357)*($Z$37:$Z$48-CB357)*($Z$37:$Z$48-$W$71/2))</f>
        <v>539639.145</v>
      </c>
      <c r="CE357" s="101">
        <f>$W$76*CC357-$W$73*CD357</f>
        <v>31120937.1</v>
      </c>
      <c r="CF357" s="101">
        <f>IF(AND(CE356&lt;0,CE357&gt;=0,IF($W$73&gt;0,CC357&gt;0,IF($W$73&lt;0,CC356&lt;0,TRUE))),CA357,"")</f>
        <v/>
      </c>
    </row>
    <row r="358">
      <c r="CA358" t="n">
        <v>198</v>
      </c>
      <c r="CB358" s="101">
        <f>$W$71*CA358/200</f>
        <v>59.4</v>
      </c>
      <c r="CC358" s="101">
        <f>$W$72*CB358^2/2-$W$81*SUMPRODUCT(($Z$37:$Z$48&gt;CB358)*($Z$37:$Z$48-CB358))</f>
        <v>52925.4</v>
      </c>
      <c r="CD358" s="101">
        <f>$W$72*CB358^2/2*($W$71/2-CB358/3)+$W$81*SUMPRODUCT(($Z$37:$Z$48&gt;CB358)*($Z$37:$Z$48-CB358)*($Z$37:$Z$48-$W$71/2))</f>
        <v>539839.08</v>
      </c>
      <c r="CE358" s="101">
        <f>$W$76*CC358-$W$73*CD358</f>
        <v>31543538.4</v>
      </c>
      <c r="CF358" s="101">
        <f>IF(AND(CE357&lt;0,CE358&gt;=0,IF($W$73&gt;0,CC358&gt;0,IF($W$73&lt;0,CC357&lt;0,TRUE))),CA358,"")</f>
        <v/>
      </c>
    </row>
    <row r="359">
      <c r="CA359" t="n">
        <v>199</v>
      </c>
      <c r="CB359" s="101">
        <f>$W$71*CA359/200</f>
        <v>59.7</v>
      </c>
      <c r="CC359" s="101">
        <f>$W$72*CB359^2/2-$W$81*SUMPRODUCT(($Z$37:$Z$48&gt;CB359)*($Z$37:$Z$48-CB359))</f>
        <v>53461.35</v>
      </c>
      <c r="CD359" s="101">
        <f>$W$72*CB359^2/2*($W$71/2-CB359/3)+$W$81*SUMPRODUCT(($Z$37:$Z$48&gt;CB359)*($Z$37:$Z$48-CB359)*($Z$37:$Z$48-$W$71/2))</f>
        <v>539959.635</v>
      </c>
      <c r="CE359" s="101">
        <f>$W$76*CC359-$W$73*CD359</f>
        <v>31969887.3</v>
      </c>
      <c r="CF359" s="101">
        <f>IF(AND(CE358&lt;0,CE359&gt;=0,IF($W$73&gt;0,CC359&gt;0,IF($W$73&lt;0,CC358&lt;0,TRUE))),CA359,"")</f>
        <v/>
      </c>
    </row>
    <row r="360">
      <c r="CA360" t="n">
        <v>200</v>
      </c>
      <c r="CB360" s="101">
        <f>$W$71*CA360/200</f>
        <v>60.0</v>
      </c>
      <c r="CC360" s="101">
        <f>$W$72*CB360^2/2-$W$81*SUMPRODUCT(($Z$37:$Z$48&gt;CB360)*($Z$37:$Z$48-CB360))</f>
        <v>54000.0</v>
      </c>
      <c r="CD360" s="101">
        <f>$W$72*CB360^2/2*($W$71/2-CB360/3)+$W$81*SUMPRODUCT(($Z$37:$Z$48&gt;CB360)*($Z$37:$Z$48-CB360)*($Z$37:$Z$48-$W$71/2))</f>
        <v>540000.0</v>
      </c>
      <c r="CE360" s="101">
        <f>$W$76*CC360-$W$73*CD360</f>
        <v>32400000.0</v>
      </c>
      <c r="CF360" s="101">
        <f>IF(AND(CE359&lt;0,CE360&gt;=0,IF($W$73&gt;0,CC360&gt;0,IF($W$73&lt;0,CC359&lt;0,TRUE))),CA360,"")</f>
        <v/>
      </c>
    </row>
  </sheetData>
  <sheetProtection selectLockedCells="0" selectUnlockedCells="0" sheet="1" objects="0" insertRows="1" insertHyperlinks="1" autoFilter="1" scenarios="0" formatColumns="1" deleteColumns="1" insertColumns="1" pivotTables="1" deleteRows="1" formatCells="1" formatRows="1" sort="1" password="F496"/>
  <mergeCells count="99">
    <mergeCell ref="G81:H81"/>
    <mergeCell ref="A15:B15"/>
    <mergeCell ref="G71:H71"/>
    <mergeCell ref="A88:B88"/>
    <mergeCell ref="L4:T4"/>
    <mergeCell ref="A2:I2"/>
    <mergeCell ref="E29:I29"/>
    <mergeCell ref="G89:I89"/>
    <mergeCell ref="A85:I85"/>
    <mergeCell ref="A99:B99"/>
    <mergeCell ref="P2:T2"/>
    <mergeCell ref="A91:C91"/>
    <mergeCell ref="E31:I31"/>
    <mergeCell ref="D68:I68"/>
    <mergeCell ref="A101:B101"/>
    <mergeCell ref="A63:C63"/>
    <mergeCell ref="A33:B33"/>
    <mergeCell ref="L3:O3"/>
    <mergeCell ref="A17:B17"/>
    <mergeCell ref="A22:B22"/>
    <mergeCell ref="D69:I69"/>
    <mergeCell ref="A103:I103"/>
    <mergeCell ref="A19:B19"/>
    <mergeCell ref="A61:I61"/>
    <mergeCell ref="G75:H75"/>
    <mergeCell ref="A9:B9"/>
    <mergeCell ref="M2:O2"/>
    <mergeCell ref="G101:I101"/>
    <mergeCell ref="A30:B30"/>
    <mergeCell ref="G77:H77"/>
    <mergeCell ref="A11:B11"/>
    <mergeCell ref="H93:I93"/>
    <mergeCell ref="G70:H70"/>
    <mergeCell ref="E92:I92"/>
    <mergeCell ref="C4:D4"/>
    <mergeCell ref="E28:I28"/>
    <mergeCell ref="G55:I55"/>
    <mergeCell ref="A89:B89"/>
    <mergeCell ref="D64:I64"/>
    <mergeCell ref="A26:B26"/>
    <mergeCell ref="E30:I30"/>
    <mergeCell ref="A83:I83"/>
    <mergeCell ref="A8:B8"/>
    <mergeCell ref="A100:B100"/>
    <mergeCell ref="A49:I49"/>
    <mergeCell ref="P3:T3"/>
    <mergeCell ref="G76:H76"/>
    <mergeCell ref="E32:I32"/>
    <mergeCell ref="A10:B10"/>
    <mergeCell ref="A1:I1"/>
    <mergeCell ref="A93:B93"/>
    <mergeCell ref="R1:S1"/>
    <mergeCell ref="A92:B92"/>
    <mergeCell ref="A94:B94"/>
    <mergeCell ref="D87:F87"/>
    <mergeCell ref="A104:I104"/>
    <mergeCell ref="A34:D34"/>
    <mergeCell ref="G78:H78"/>
    <mergeCell ref="A12:B12"/>
    <mergeCell ref="D91:E91"/>
    <mergeCell ref="A28:C28"/>
    <mergeCell ref="A21:B21"/>
    <mergeCell ref="H100:I100"/>
    <mergeCell ref="D35:F35"/>
    <mergeCell ref="A32:B32"/>
    <mergeCell ref="G80:H80"/>
    <mergeCell ref="A14:B14"/>
    <mergeCell ref="D59:F59"/>
    <mergeCell ref="A23:B23"/>
    <mergeCell ref="A59:C59"/>
    <mergeCell ref="G79:H79"/>
    <mergeCell ref="A64:C64"/>
    <mergeCell ref="A4:B4"/>
    <mergeCell ref="D63:I63"/>
    <mergeCell ref="G73:H73"/>
    <mergeCell ref="A96:B96"/>
    <mergeCell ref="A98:C98"/>
    <mergeCell ref="A24:B24"/>
    <mergeCell ref="A84:I84"/>
    <mergeCell ref="A50:I50"/>
    <mergeCell ref="G82:H82"/>
    <mergeCell ref="A95:I95"/>
    <mergeCell ref="A16:B16"/>
    <mergeCell ref="A25:B25"/>
    <mergeCell ref="A53:C53"/>
    <mergeCell ref="A18:B18"/>
    <mergeCell ref="A35:C35"/>
    <mergeCell ref="G74:H74"/>
    <mergeCell ref="A68:C68"/>
    <mergeCell ref="E27:I27"/>
    <mergeCell ref="A20:B20"/>
    <mergeCell ref="B3:D3"/>
    <mergeCell ref="A29:B29"/>
    <mergeCell ref="D98:H98"/>
    <mergeCell ref="M1:O1"/>
    <mergeCell ref="A13:B13"/>
    <mergeCell ref="A87:C87"/>
    <mergeCell ref="A31:B31"/>
    <mergeCell ref="G72:H72"/>
  </mergeCells>
  <conditionalFormatting sqref="D37:F48">
    <cfRule type="expression" priority="1" dxfId="9">
      <formula>$C$9&lt;&gt;"IDEA"</formula>
    </cfRule>
  </conditionalFormatting>
  <conditionalFormatting sqref="C29:C33">
    <cfRule type="expression" priority="2" dxfId="9">
      <formula>$C$9="IDEA"</formula>
    </cfRule>
  </conditionalFormatting>
  <conditionalFormatting sqref="C13">
    <cfRule type="expression" priority="3" dxfId="9">
      <formula>$C$10="Pipe"</formula>
    </cfRule>
  </conditionalFormatting>
  <conditionalFormatting sqref="C15">
    <cfRule type="expression" priority="4" dxfId="9">
      <formula>$C$10="Pipe"</formula>
    </cfRule>
  </conditionalFormatting>
  <conditionalFormatting sqref="C21">
    <cfRule type="expression" priority="5" dxfId="9">
      <formula>$C$20&lt;&gt;"Fillet"</formula>
    </cfRule>
  </conditionalFormatting>
  <conditionalFormatting sqref="A71:I71">
    <cfRule type="expression" priority="6" dxfId="10">
      <formula>AND(V37,$AU$37=$W$123,$W$123&gt;0)</formula>
    </cfRule>
  </conditionalFormatting>
  <conditionalFormatting sqref="A72:I72">
    <cfRule type="expression" priority="7" dxfId="10">
      <formula>AND(V38,$AU$38=$W$123,$W$123&gt;0)</formula>
    </cfRule>
  </conditionalFormatting>
  <conditionalFormatting sqref="A73:I73">
    <cfRule type="expression" priority="8" dxfId="10">
      <formula>AND(V39,$AU$39=$W$123,$W$123&gt;0)</formula>
    </cfRule>
  </conditionalFormatting>
  <conditionalFormatting sqref="A74:I74">
    <cfRule type="expression" priority="9" dxfId="10">
      <formula>AND(V40,$AU$40=$W$123,$W$123&gt;0)</formula>
    </cfRule>
  </conditionalFormatting>
  <conditionalFormatting sqref="A75:I75">
    <cfRule type="expression" priority="10" dxfId="10">
      <formula>AND(V41,$AU$41=$W$123,$W$123&gt;0)</formula>
    </cfRule>
  </conditionalFormatting>
  <conditionalFormatting sqref="A76:I76">
    <cfRule type="expression" priority="11" dxfId="10">
      <formula>AND(V42,$AU$42=$W$123,$W$123&gt;0)</formula>
    </cfRule>
  </conditionalFormatting>
  <conditionalFormatting sqref="A77:I77">
    <cfRule type="expression" priority="12" dxfId="10">
      <formula>AND(V43,$AU$43=$W$123,$W$123&gt;0)</formula>
    </cfRule>
  </conditionalFormatting>
  <conditionalFormatting sqref="A78:I78">
    <cfRule type="expression" priority="13" dxfId="10">
      <formula>AND(V44,$AU$44=$W$123,$W$123&gt;0)</formula>
    </cfRule>
  </conditionalFormatting>
  <conditionalFormatting sqref="A79:I79">
    <cfRule type="expression" priority="14" dxfId="10">
      <formula>AND(V45,$AU$45=$W$123,$W$123&gt;0)</formula>
    </cfRule>
  </conditionalFormatting>
  <conditionalFormatting sqref="A80:I80">
    <cfRule type="expression" priority="15" dxfId="10">
      <formula>AND(V46,$AU$46=$W$123,$W$123&gt;0)</formula>
    </cfRule>
  </conditionalFormatting>
  <conditionalFormatting sqref="A81:I81">
    <cfRule type="expression" priority="16" dxfId="10">
      <formula>AND(V47,$AU$47=$W$123,$W$123&gt;0)</formula>
    </cfRule>
  </conditionalFormatting>
  <conditionalFormatting sqref="A82:I82">
    <cfRule type="expression" priority="17" dxfId="10">
      <formula>AND(V48,$AU$48=$W$123,$W$123&gt;0)</formula>
    </cfRule>
  </conditionalFormatting>
  <conditionalFormatting sqref="F89">
    <cfRule type="expression" priority="18" dxfId="2">
      <formula>F89="Un-Safe"</formula>
    </cfRule>
  </conditionalFormatting>
  <conditionalFormatting sqref="F96">
    <cfRule type="expression" priority="19" dxfId="2">
      <formula>F96="Un-Safe"</formula>
    </cfRule>
  </conditionalFormatting>
  <conditionalFormatting sqref="F101">
    <cfRule type="expression" priority="20" dxfId="2">
      <formula>F101="Un-Safe"</formula>
    </cfRule>
  </conditionalFormatting>
  <conditionalFormatting sqref="C26">
    <cfRule type="expression" priority="21" dxfId="2">
      <formula>C26="Un-Safe"</formula>
    </cfRule>
    <cfRule type="expression" priority="22" dxfId="2">
      <formula>$C$26="Check design steps"</formula>
    </cfRule>
  </conditionalFormatting>
  <dataValidations count="9">
    <dataValidation sqref="C8" showDropDown="0" showInputMessage="0" showErrorMessage="0" allowBlank="0" type="list">
      <formula1>"ASD,LRFD"</formula1>
    </dataValidation>
    <dataValidation sqref="C9" showDropDown="0" showInputMessage="0" showErrorMessage="0" allowBlank="0" type="list">
      <formula1>"Column,IDEA"</formula1>
    </dataValidation>
    <dataValidation sqref="C10" showDropDown="0" showInputMessage="0" showErrorMessage="0" allowBlank="0" type="list">
      <formula1>"I-Section,Box,Pipe"</formula1>
    </dataValidation>
    <dataValidation sqref="C11" showDropDown="0" showInputMessage="0" showErrorMessage="0" allowBlank="0" type="list">
      <formula1>"Major,Minor"</formula1>
    </dataValidation>
    <dataValidation sqref="C16" showDropDown="0" showInputMessage="0" showErrorMessage="0" allowBlank="0" type="list">
      <formula1>"ST 37,ST 44,ST 52"</formula1>
    </dataValidation>
    <dataValidation sqref="C20" showDropDown="0" showInputMessage="0" showErrorMessage="0" allowBlank="0" type="list">
      <formula1>"Fillet,Full Pen."</formula1>
    </dataValidation>
    <dataValidation sqref="C22" showDropDown="0" showInputMessage="0" showErrorMessage="0" allowBlank="0" type="list">
      <formula1>"250,350"</formula1>
    </dataValidation>
    <dataValidation sqref="C30" showDropDown="0" showInputMessage="0" showErrorMessage="0" allowBlank="0" type="list">
      <formula1>"Compression,Tension"</formula1>
    </dataValidation>
    <dataValidation sqref="B37:F48" showDropDown="0" showInputMessage="0" showErrorMessage="0" allowBlank="1" type="decimal" operator="between">
      <formula1>-1000</formula1>
      <formula2>1000</formula2>
    </dataValidation>
  </dataValidations>
  <hyperlinks>
    <hyperlink xmlns:r="http://schemas.openxmlformats.org/officeDocument/2006/relationships" ref="P2" r:id="rId1"/>
    <hyperlink xmlns:r="http://schemas.openxmlformats.org/officeDocument/2006/relationships" ref="L3" r:id="rId2"/>
    <hyperlink xmlns:r="http://schemas.openxmlformats.org/officeDocument/2006/relationships" ref="P3" r:id="rId3"/>
    <hyperlink xmlns:r="http://schemas.openxmlformats.org/officeDocument/2006/relationships" ref="L4" r:id="rId4"/>
  </hyperlinks>
  <pageMargins left="0.4" right="0.4" top="0.5" bottom="0.5" header="0.5" footer="0.5"/>
  <pageSetup orientation="portrait" paperSize="9" fitToHeight="0" fitToWidth="1"/>
  <rowBreaks count="1" manualBreakCount="1">
    <brk id="50" min="0" max="16383" man="1"/>
  </rowBreaks>
  <drawing xmlns:r="http://schemas.openxmlformats.org/officeDocument/2006/relationships" r:id="rId5"/>
  <legacyDrawing xmlns:r="http://schemas.openxmlformats.org/officeDocument/2006/relationships" r:id="anysvml"/>
</worksheet>
</file>

<file path=xl/worksheets/sheet2.xml><?xml version="1.0" encoding="utf-8"?>
<worksheet xmlns:r="http://schemas.openxmlformats.org/officeDocument/2006/relationships" xmlns="http://schemas.openxmlformats.org/spreadsheetml/2006/main">
  <sheetPr codeName="Sheet1">
    <outlinePr summaryBelow="1" summaryRight="1"/>
    <pageSetUpPr fitToPage="1"/>
  </sheetPr>
  <dimension ref="A1:W54"/>
  <sheetViews>
    <sheetView tabSelected="0" view="pageBreakPreview" zoomScaleNormal="160" zoomScaleSheetLayoutView="100" workbookViewId="0">
      <selection activeCell="C11" sqref="C11"/>
    </sheetView>
  </sheetViews>
  <sheetFormatPr baseColWidth="8" defaultRowHeight="15"/>
  <cols>
    <col width="15.140625" customWidth="1" style="16" min="1" max="1"/>
    <col width="9.7109375" customWidth="1" style="16" min="2" max="2"/>
    <col width="9.140625" customWidth="1" style="16" min="3" max="3"/>
    <col width="11.140625" customWidth="1" style="16" min="4" max="4"/>
    <col width="10.42578125" customWidth="1" style="16" min="5" max="5"/>
    <col width="10.7109375" customWidth="1" style="16" min="6" max="6"/>
    <col width="5.7109375" customWidth="1" style="16" min="7" max="7"/>
  </cols>
  <sheetData>
    <row r="1" ht="15.75" customHeight="1" s="16">
      <c r="A1" s="67" t="inlineStr">
        <is>
          <t>MOHAMED MUSTAFA  |  Steel Structures Design</t>
        </is>
      </c>
      <c r="L1" s="5" t="inlineStr">
        <is>
          <t>DESIGN BY :</t>
        </is>
      </c>
      <c r="M1" s="73" t="inlineStr">
        <is>
          <t>ENG. Mohamed Mustafa</t>
        </is>
      </c>
      <c r="N1" s="81" t="n"/>
      <c r="O1" s="81" t="n"/>
      <c r="P1" s="74" t="inlineStr">
        <is>
          <t>REV. NO. :</t>
        </is>
      </c>
      <c r="Q1" s="74" t="n">
        <v>3</v>
      </c>
      <c r="R1" s="74" t="inlineStr">
        <is>
          <t>DATE OF REV :</t>
        </is>
      </c>
      <c r="S1" s="81" t="n"/>
      <c r="T1" s="7" t="n">
        <v>45940</v>
      </c>
    </row>
    <row r="2" ht="15.75" customHeight="1" s="16">
      <c r="A2" s="67" t="inlineStr">
        <is>
          <t>Anchor Bolt &amp; Washer Plate Design - ECP 205 (ASD / LRFD)</t>
        </is>
      </c>
      <c r="L2" s="8" t="inlineStr">
        <is>
          <t>Phone</t>
        </is>
      </c>
      <c r="M2" s="82" t="str">
        <f>"01140949980"</f>
        <v>01140949980</v>
      </c>
      <c r="P2" s="83" t="inlineStr">
        <is>
          <t>WhatsApp</t>
        </is>
      </c>
      <c r="Q2" s="84" t="n"/>
      <c r="R2" s="84" t="n"/>
      <c r="S2" s="84" t="n"/>
      <c r="T2" s="85" t="n"/>
    </row>
    <row r="3" ht="15.75" customHeight="1" s="16" thickBot="1">
      <c r="A3" s="9" t="inlineStr">
        <is>
          <t>DESIGN BY :</t>
        </is>
      </c>
      <c r="B3" s="70" t="inlineStr">
        <is>
          <t>ENG. Mohamed Mustafa</t>
        </is>
      </c>
      <c r="E3" s="29" t="n"/>
      <c r="F3" s="29" t="n"/>
      <c r="G3" s="29" t="n"/>
      <c r="H3" s="29" t="n"/>
      <c r="I3" s="29" t="n"/>
      <c r="L3" s="124" t="inlineStr">
        <is>
          <t>Linkedin account</t>
        </is>
      </c>
      <c r="M3" s="125" t="n"/>
      <c r="N3" s="125" t="n"/>
      <c r="O3" s="125" t="n"/>
      <c r="P3" s="126" t="inlineStr">
        <is>
          <t>Facebook account</t>
        </is>
      </c>
      <c r="Q3" s="125" t="n"/>
      <c r="R3" s="125" t="n"/>
      <c r="S3" s="125" t="n"/>
      <c r="T3" s="127" t="n"/>
    </row>
    <row r="4" s="16">
      <c r="A4" s="72" t="inlineStr">
        <is>
          <t>Project ID. :</t>
        </is>
      </c>
      <c r="C4" s="88" t="n"/>
      <c r="E4" s="29" t="n"/>
      <c r="F4" s="29" t="n"/>
      <c r="G4" s="29" t="n"/>
      <c r="H4" s="29" t="n"/>
      <c r="I4" s="29" t="n"/>
      <c r="L4" s="128" t="inlineStr">
        <is>
          <t>Portfolio</t>
        </is>
      </c>
      <c r="M4" s="129" t="n"/>
      <c r="N4" s="129" t="n"/>
      <c r="O4" s="129" t="n"/>
      <c r="P4" s="129" t="n"/>
      <c r="Q4" s="129" t="n"/>
      <c r="R4" s="129" t="n"/>
      <c r="S4" s="129" t="n"/>
      <c r="T4" s="130" t="n"/>
    </row>
    <row r="5">
      <c r="A5" s="72" t="n"/>
      <c r="B5" s="72" t="n"/>
      <c r="C5" s="29" t="n"/>
      <c r="D5" s="29" t="n"/>
      <c r="E5" s="29" t="n"/>
      <c r="F5" s="29" t="n"/>
      <c r="G5" s="29" t="n"/>
      <c r="H5" s="29" t="n"/>
      <c r="I5" s="29" t="n"/>
    </row>
    <row r="6" ht="15.75" customHeight="1" s="16">
      <c r="A6" s="25" t="inlineStr">
        <is>
          <t>Data Entry</t>
        </is>
      </c>
      <c r="B6" s="26" t="n"/>
      <c r="C6" s="29" t="n"/>
      <c r="D6" s="29" t="n"/>
      <c r="E6" s="29" t="n"/>
      <c r="F6" s="29" t="n"/>
      <c r="G6" s="29" t="n"/>
      <c r="H6" s="29" t="n"/>
      <c r="I6" s="29" t="n"/>
    </row>
    <row r="7" ht="18" customHeight="1" s="16" thickBot="1">
      <c r="A7" s="29" t="n"/>
      <c r="B7" s="29" t="n"/>
      <c r="C7" s="29" t="n"/>
      <c r="D7" s="29" t="n"/>
      <c r="E7" s="29" t="n"/>
      <c r="F7" s="29" t="n"/>
      <c r="G7" s="131">
        <f>C12</f>
        <v>30.0</v>
      </c>
      <c r="K7" t="inlineStr">
        <is>
          <t>angle in rad =</t>
        </is>
      </c>
      <c r="M7" s="101">
        <f>1/(C12/20)</f>
        <v>0.666666666666667</v>
      </c>
      <c r="P7" s="101">
        <f>1*M9</f>
        <v>0.103011283699612</v>
      </c>
      <c r="Q7" t="inlineStr">
        <is>
          <t>"@1cm width"</t>
        </is>
      </c>
    </row>
    <row r="8" ht="15.75" customHeight="1" s="16" thickBot="1">
      <c r="A8" s="60" t="inlineStr">
        <is>
          <t>Design Method :</t>
        </is>
      </c>
      <c r="C8" s="132" t="str">
        <f>'1-Base Plate'!C8</f>
        <v>ASD</v>
      </c>
      <c r="D8" s="49" t="inlineStr">
        <is>
          <t>Anchor Shape :</t>
        </is>
      </c>
      <c r="F8" s="2" t="inlineStr">
        <is>
          <t>Straight</t>
        </is>
      </c>
      <c r="G8" s="29" t="n"/>
      <c r="H8" s="29" t="n"/>
      <c r="I8" s="29" t="n"/>
      <c r="K8" t="inlineStr">
        <is>
          <t>Perimeter @ r2 washer =</t>
        </is>
      </c>
      <c r="N8" s="101">
        <f>M7*(C15/2)</f>
        <v>2.66666666666667</v>
      </c>
      <c r="P8" s="101">
        <f>N8*M9</f>
        <v>0.274696756532297</v>
      </c>
      <c r="Q8" s="101" t="str">
        <f>"@"&amp;N8&amp;"cmwidth"</f>
        <v>@2.66666666666667cmwidth</v>
      </c>
    </row>
    <row r="9" ht="15.75" customHeight="1" s="16" thickBot="1">
      <c r="A9" s="60" t="inlineStr">
        <is>
          <t>Bolt Properties :</t>
        </is>
      </c>
      <c r="C9" s="2" t="inlineStr">
        <is>
          <t>ST 52</t>
        </is>
      </c>
      <c r="D9" s="29" t="n"/>
      <c r="E9" s="29" t="n"/>
      <c r="F9" s="29" t="n"/>
      <c r="G9" s="29" t="n"/>
      <c r="H9" s="29" t="n"/>
      <c r="I9" s="29" t="n"/>
      <c r="K9" t="inlineStr">
        <is>
          <t>stress in washer =</t>
        </is>
      </c>
      <c r="M9" s="101">
        <f>E34/B32</f>
        <v>0.103011283699612</v>
      </c>
      <c r="P9" t="inlineStr">
        <is>
          <t>center1 =</t>
        </is>
      </c>
      <c r="Q9" s="101">
        <f>(C15/2-C12/20)/2</f>
        <v>1.25</v>
      </c>
      <c r="R9" t="inlineStr">
        <is>
          <t>cm</t>
        </is>
      </c>
    </row>
    <row r="10" ht="15.75" customHeight="1" s="16" thickBot="1">
      <c r="A10" s="53" t="inlineStr">
        <is>
          <t>Force in bolt =</t>
        </is>
      </c>
      <c r="C10" s="133">
        <f>'1-Base Plate'!$W$123</f>
        <v>4.44976801647886</v>
      </c>
      <c r="D10" s="29" t="inlineStr">
        <is>
          <t>ton</t>
        </is>
      </c>
      <c r="E10" s="29" t="n"/>
      <c r="F10" s="29" t="n"/>
      <c r="G10" s="29" t="n"/>
      <c r="H10" s="29" t="n"/>
      <c r="I10" s="29" t="n"/>
      <c r="K10" t="inlineStr">
        <is>
          <t>area hatched =</t>
        </is>
      </c>
      <c r="M10" s="101">
        <f>B32*(0.5*M7/PI())</f>
        <v>4.58333333333333</v>
      </c>
      <c r="N10" t="inlineStr">
        <is>
          <t>cm2</t>
        </is>
      </c>
      <c r="P10" t="inlineStr">
        <is>
          <t xml:space="preserve">Center2 = </t>
        </is>
      </c>
      <c r="Q10" s="101">
        <f>(2/3)*(C15/2-C12/10/2)</f>
        <v>1.66666666666667</v>
      </c>
      <c r="R10" t="inlineStr">
        <is>
          <t>cm</t>
        </is>
      </c>
      <c r="T10" t="inlineStr">
        <is>
          <t>G</t>
        </is>
      </c>
      <c r="U10" t="n">
        <v>4</v>
      </c>
      <c r="V10" t="n">
        <v>0.6</v>
      </c>
    </row>
    <row r="11" ht="15" customHeight="1" s="16" thickBot="1">
      <c r="A11" s="53" t="inlineStr">
        <is>
          <t>Embedment hef =</t>
        </is>
      </c>
      <c r="C11" s="2" t="n">
        <v>120</v>
      </c>
      <c r="D11" s="29" t="inlineStr">
        <is>
          <t>cm</t>
        </is>
      </c>
      <c r="E11" s="29" t="n"/>
      <c r="F11" s="29" t="n"/>
      <c r="G11" s="34" t="n"/>
      <c r="H11" s="29" t="n"/>
      <c r="I11" s="29" t="n"/>
      <c r="K11" t="inlineStr">
        <is>
          <t>W in Circular strip</t>
        </is>
      </c>
      <c r="M11" s="101">
        <f>M10*M9</f>
        <v>0.472135050289886</v>
      </c>
    </row>
    <row r="12" ht="15.75" customHeight="1" s="16" thickBot="1">
      <c r="A12" s="53" t="inlineStr">
        <is>
          <t>Bolt Diameter =</t>
        </is>
      </c>
      <c r="C12" s="2" t="n">
        <v>30</v>
      </c>
      <c r="D12" s="29" t="inlineStr">
        <is>
          <t>mm</t>
        </is>
      </c>
      <c r="E12" s="29" t="n"/>
      <c r="F12" s="29" t="n"/>
      <c r="G12" s="34" t="n"/>
      <c r="H12" s="29" t="n"/>
      <c r="I12" s="29" t="n"/>
      <c r="K12" t="inlineStr">
        <is>
          <t>Moment 1 =</t>
        </is>
      </c>
      <c r="L12" s="101">
        <f>P7*(Q9*2)*(Q9)</f>
        <v>0.321910261561286</v>
      </c>
      <c r="M12" t="inlineStr">
        <is>
          <t>t.cm</t>
        </is>
      </c>
      <c r="R12" s="101">
        <f>IF(F8="Straight",1,0.75)</f>
        <v>1.0</v>
      </c>
    </row>
    <row r="13" ht="15.75" customHeight="1" s="16" thickBot="1">
      <c r="A13" s="53" t="inlineStr">
        <is>
          <t>Concrete Fcu =</t>
        </is>
      </c>
      <c r="C13" s="92">
        <f>'1-Base Plate'!C22</f>
        <v>250.0</v>
      </c>
      <c r="D13" s="29" t="inlineStr">
        <is>
          <t>kg/cm2</t>
        </is>
      </c>
      <c r="E13" s="29" t="n"/>
      <c r="F13" s="29" t="n"/>
      <c r="G13" s="34" t="n"/>
      <c r="H13" s="29" t="n"/>
      <c r="I13" s="29" t="n"/>
      <c r="K13" t="inlineStr">
        <is>
          <t>Moment 2 =</t>
        </is>
      </c>
      <c r="L13" s="101">
        <f>Q9*(P8-P7)*(Q10)</f>
        <v>0.357678068401429</v>
      </c>
      <c r="M13" t="inlineStr">
        <is>
          <t>t.cm</t>
        </is>
      </c>
      <c r="P13" s="101">
        <f>P7*Q9*2+0.5*(P8-P7)*Q9*2</f>
        <v>0.472135050289886</v>
      </c>
      <c r="R13" s="101">
        <f>IF(F15="Plain",1,0.75)</f>
        <v>1.0</v>
      </c>
    </row>
    <row r="14" ht="15" customHeight="1" s="16" thickBot="1">
      <c r="A14" s="53" t="inlineStr">
        <is>
          <t>Consider Bond :</t>
        </is>
      </c>
      <c r="C14" s="134" t="inlineStr">
        <is>
          <t>No</t>
        </is>
      </c>
      <c r="D14" s="29" t="n"/>
      <c r="E14" s="29" t="n"/>
      <c r="F14" s="29" t="n"/>
      <c r="G14" s="29" t="n"/>
      <c r="H14" s="29" t="n"/>
      <c r="I14" s="29" t="n"/>
      <c r="K14" t="inlineStr">
        <is>
          <t xml:space="preserve">Mt = </t>
        </is>
      </c>
      <c r="L14" s="101">
        <f>(L13+L12)</f>
        <v>0.679588329962715</v>
      </c>
      <c r="M14" t="inlineStr">
        <is>
          <t>t.cm</t>
        </is>
      </c>
    </row>
    <row r="15" ht="15.75" customHeight="1" s="16" thickBot="1">
      <c r="A15" s="53" t="inlineStr">
        <is>
          <t>Washer Diameter =</t>
        </is>
      </c>
      <c r="C15" s="135">
        <f>CEILING(MAX($T$23,$T$24),1)</f>
        <v>8.0</v>
      </c>
      <c r="D15" s="29" t="inlineStr">
        <is>
          <t>cm</t>
        </is>
      </c>
      <c r="E15" s="42" t="inlineStr">
        <is>
          <t>Anchor type:</t>
        </is>
      </c>
      <c r="F15" s="2" t="inlineStr">
        <is>
          <t>Plain</t>
        </is>
      </c>
      <c r="G15" s="29" t="n"/>
      <c r="H15" s="29" t="n"/>
      <c r="I15" s="29" t="n"/>
      <c r="L15" s="101">
        <f>E34/(2*PI())</f>
        <v>0.708202575434829</v>
      </c>
    </row>
    <row r="16" ht="15.75" customHeight="1" s="16" thickBot="1">
      <c r="A16" s="53" t="inlineStr">
        <is>
          <t>Washer Properties :</t>
        </is>
      </c>
      <c r="C16" s="2" t="inlineStr">
        <is>
          <t>ST 37</t>
        </is>
      </c>
      <c r="D16" s="29" t="n"/>
      <c r="E16" s="29" t="n"/>
      <c r="F16" s="29" t="n"/>
      <c r="G16" s="29" t="n"/>
      <c r="H16" s="29" t="n"/>
      <c r="I16" s="29" t="n"/>
    </row>
    <row r="17" ht="15" customHeight="1" s="16" thickBot="1">
      <c r="A17" s="53" t="inlineStr">
        <is>
          <t>Selected Thickness =</t>
        </is>
      </c>
      <c r="C17" s="136">
        <f>IFERROR(INDEX($U$20:$U$31,COUNTIF($U$20:$U$31,"&lt;"&amp;MAX(C40,1))+1),"&gt; 6")</f>
        <v>1.6</v>
      </c>
      <c r="D17" s="29" t="inlineStr">
        <is>
          <t>cm</t>
        </is>
      </c>
      <c r="E17" s="137" t="str">
        <f>IF(C10&lt;=0,"No tension",IF(AND(F25="Safe",F42="Safe",F45="Safe",F48="Safe",F50="Safe",F51="Safe",F53="Safe"),"Safe","Check design steps"))</f>
        <v>Safe</v>
      </c>
      <c r="H17" s="29" t="n"/>
      <c r="I17" s="29" t="n"/>
      <c r="N17" s="101">
        <f>P7*(Q9*2)*(Q9)</f>
        <v>0.321910261561286</v>
      </c>
    </row>
    <row r="18">
      <c r="A18" s="29" t="n"/>
      <c r="B18" s="138">
        <f>IF(C10&lt;=0,"No tension in the bolts (sheet 1) - washer plate not needed","")</f>
        <v/>
      </c>
      <c r="G18" s="29" t="n"/>
      <c r="H18" s="29" t="n"/>
      <c r="I18" s="29" t="n"/>
      <c r="N18" s="101">
        <f>Q9*(P8-P7)*(Q10)</f>
        <v>0.357678068401429</v>
      </c>
    </row>
    <row r="19" ht="15.75" customHeight="1" s="16">
      <c r="A19" s="25" t="inlineStr">
        <is>
          <t>Data Output:</t>
        </is>
      </c>
      <c r="B19" s="26" t="n"/>
      <c r="C19" s="29" t="n"/>
      <c r="D19" s="29" t="n"/>
      <c r="E19" s="29" t="n"/>
      <c r="F19" s="29" t="n"/>
      <c r="G19" s="29" t="n"/>
      <c r="H19" s="29" t="n"/>
      <c r="I19" s="29" t="n"/>
      <c r="S19" t="inlineStr">
        <is>
          <t>Helpers</t>
        </is>
      </c>
      <c r="U19" t="inlineStr">
        <is>
          <t>Std t (cm)</t>
        </is>
      </c>
    </row>
    <row r="20">
      <c r="A20" s="29" t="n"/>
      <c r="B20" s="29" t="n"/>
      <c r="C20" s="29" t="n"/>
      <c r="D20" s="29" t="n"/>
      <c r="E20" s="29" t="n"/>
      <c r="F20" s="29" t="n"/>
      <c r="G20" s="29" t="n"/>
      <c r="H20" s="29" t="n"/>
      <c r="I20" s="29" t="n"/>
      <c r="S20" t="inlineStr">
        <is>
          <t>A2 (cm2)</t>
        </is>
      </c>
      <c r="T20" s="139">
        <f>IF('1-Base Plate'!$W$77&gt;1,MIN(2*'1-Base Plate'!$W$121,N('1-Base Plate'!$W$122)),2*'1-Base Plate'!$W$121)^2</f>
        <v>400.0</v>
      </c>
      <c r="U20" t="n">
        <v>1</v>
      </c>
    </row>
    <row r="21">
      <c r="A21" s="53" t="inlineStr">
        <is>
          <t>Bolt Properties:</t>
        </is>
      </c>
      <c r="C21" s="29" t="n"/>
      <c r="D21" s="29" t="n"/>
      <c r="E21" s="29" t="n"/>
      <c r="F21" s="29" t="n"/>
      <c r="G21" s="29" t="n"/>
      <c r="H21" s="29" t="n"/>
      <c r="I21" s="29" t="n"/>
      <c r="Q21" s="140" t="str">
        <f>N8&amp;"cm"</f>
        <v>2.66666666666667cm</v>
      </c>
      <c r="S21" t="inlineStr">
        <is>
          <t>fb0 (kg/cm2)</t>
        </is>
      </c>
      <c r="T21" s="139">
        <f>$C$27</f>
        <v>70.0</v>
      </c>
      <c r="U21" t="n">
        <v>1.2</v>
      </c>
    </row>
    <row r="22">
      <c r="A22" s="61" t="inlineStr">
        <is>
          <t>Fy =</t>
        </is>
      </c>
      <c r="B22" s="141">
        <f>IF(C9="ST 37",2.4,
IF(C9="ST 44",2.8,
IF(C9="ST 52",3.6,
IF(C9="G4.6",2.4,
IF(C9="G4.8",3.2,
IF(C9="G5.6",3,
IF(C9="G5.8",4,
IF(C9="G6.8",4.8,
IF(C9="G8.8",6.4,IF(C9="G10.9",9,""))))))))))</f>
        <v>3.6</v>
      </c>
      <c r="C22" s="29" t="inlineStr">
        <is>
          <t>t/cm2</t>
        </is>
      </c>
      <c r="D22" s="61" t="inlineStr">
        <is>
          <t>Fu =</t>
        </is>
      </c>
      <c r="E22" s="141">
        <f>IF(C9="ST 37",3.6,
IF(C9="ST 44",4.4,
IF(C9="ST 52",5.2,
IF(C9="G4.6",4,
IF(C9="G4.8",4,
IF(C9="G5.6",5,
IF(C9="G5.8",5,
IF(C9="G6.8",6,
IF(C9="G8.8",8,IF(C9="G10.9",10,""))))))))))</f>
        <v>5.2</v>
      </c>
      <c r="F22" s="29" t="inlineStr">
        <is>
          <t>t/cm2</t>
        </is>
      </c>
      <c r="G22" s="29" t="n"/>
      <c r="H22" s="29" t="n"/>
      <c r="I22" s="29" t="n"/>
      <c r="L22" s="142" t="str">
        <f>C15/2&amp;"cm"</f>
        <v>4cm</v>
      </c>
      <c r="S22" t="inlineStr">
        <is>
          <t>A1 req (cm2)</t>
        </is>
      </c>
      <c r="T22" s="139">
        <f>MAX($C$34/(2*$T$21),($C$34/$T$21)^2/$T$20)</f>
        <v>31.7840572605633</v>
      </c>
      <c r="U22" t="n">
        <v>1.5</v>
      </c>
    </row>
    <row r="23" ht="15" customHeight="1" s="16">
      <c r="A23" s="61" t="inlineStr">
        <is>
          <t>Bolt Area =</t>
        </is>
      </c>
      <c r="B23" s="143">
        <f>PI()*((C12/10)/2)^2</f>
        <v>7.06858347057703</v>
      </c>
      <c r="C23" s="29" t="inlineStr">
        <is>
          <t>cm2</t>
        </is>
      </c>
      <c r="D23" s="61" t="inlineStr">
        <is>
          <t>Perimeter =</t>
        </is>
      </c>
      <c r="E23" s="143">
        <f>PI()*C12/10</f>
        <v>9.42477796076938</v>
      </c>
      <c r="F23" s="29" t="inlineStr">
        <is>
          <t>cm</t>
        </is>
      </c>
      <c r="G23" s="144" t="str">
        <f>C11&amp;"cm"</f>
        <v>120cm</v>
      </c>
      <c r="H23" s="29" t="n"/>
      <c r="I23" s="29" t="n"/>
      <c r="S23" t="inlineStr">
        <is>
          <t>D bearing (cm)</t>
        </is>
      </c>
      <c r="T23" s="139">
        <f>SQRT(4*($T$22+$B$23)/PI())</f>
        <v>7.03340021584695</v>
      </c>
      <c r="U23" t="n">
        <v>1.6</v>
      </c>
    </row>
    <row r="24">
      <c r="A24" s="62" t="inlineStr">
        <is>
          <t>Bond Surface Area =</t>
        </is>
      </c>
      <c r="C24" s="145">
        <f>E23*C11</f>
        <v>1130.97335529233</v>
      </c>
      <c r="D24" s="29" t="inlineStr">
        <is>
          <t>cm2</t>
        </is>
      </c>
      <c r="E24" s="29" t="n"/>
      <c r="F24" s="29" t="n"/>
      <c r="H24" s="29" t="n"/>
      <c r="I24" s="29" t="n"/>
      <c r="Q24" s="101" t="str">
        <f>"Area Hatched = "&amp;M10&amp;" cm"</f>
        <v>Area Hatched = 4.58333333333333 cm</v>
      </c>
      <c r="S24" t="inlineStr">
        <is>
          <t>D min = 2.5d (cm)</t>
        </is>
      </c>
      <c r="T24" s="139">
        <f>2.5*$C$12/10</f>
        <v>7.5</v>
      </c>
      <c r="U24" t="n">
        <v>2</v>
      </c>
    </row>
    <row r="25" ht="15" customHeight="1" s="16">
      <c r="A25" s="48" t="inlineStr">
        <is>
          <t xml:space="preserve">Bolt Allowable tension = </t>
        </is>
      </c>
      <c r="C25" s="143">
        <f>IF(C8="ASD",0.33*0.78*B23*E22,0.75*0.78*B23*E22)</f>
        <v>9.46115760369795</v>
      </c>
      <c r="D25" s="117" t="str">
        <f>IF(C25&gt;=C10,"&gt; ","&lt; ")&amp;TEXT(C10,"0.00")</f>
        <v>&gt; 4.45</v>
      </c>
      <c r="F25" s="118" t="str">
        <f>IF(C10&lt;C25,"Safe","Un-Safe")</f>
        <v>Safe</v>
      </c>
      <c r="H25" s="29" t="n"/>
      <c r="I25" s="29" t="n"/>
      <c r="M25" s="29" t="n"/>
      <c r="N25" s="29" t="n"/>
      <c r="U25" t="n">
        <v>2.5</v>
      </c>
    </row>
    <row r="26">
      <c r="A26" s="53" t="inlineStr">
        <is>
          <t>Concrete Properties:</t>
        </is>
      </c>
      <c r="C26" s="29" t="n"/>
      <c r="D26" s="29" t="n"/>
      <c r="E26" s="29" t="n"/>
      <c r="F26" s="29" t="n"/>
      <c r="H26" s="29" t="n"/>
      <c r="I26" s="29" t="n"/>
      <c r="M26" s="29" t="n"/>
      <c r="N26" s="29" t="n"/>
      <c r="U26" t="n">
        <v>3</v>
      </c>
    </row>
    <row r="27" ht="15.75" customHeight="1" s="16" thickBot="1">
      <c r="A27" s="61" t="inlineStr">
        <is>
          <t>Allowable Bearing =</t>
        </is>
      </c>
      <c r="C27" s="145">
        <f>IF(C8="ASD",IF(C13=350,110,70),0.67*C13/1.5)</f>
        <v>70.0</v>
      </c>
      <c r="D27" s="29" t="inlineStr">
        <is>
          <t>kg/cm2</t>
        </is>
      </c>
      <c r="E27" s="117" t="str">
        <f>"C"&amp;C13/10</f>
        <v>C25</v>
      </c>
      <c r="F27" s="29" t="n"/>
      <c r="H27" s="29" t="n"/>
      <c r="I27" s="29" t="n"/>
      <c r="N27" s="29" t="n"/>
      <c r="U27" t="n">
        <v>3.5</v>
      </c>
    </row>
    <row r="28" ht="15.75" customHeight="1" s="16" thickBot="1">
      <c r="A28" s="63" t="inlineStr">
        <is>
          <t>Concrete bond =</t>
        </is>
      </c>
      <c r="B28" s="146" t="n"/>
      <c r="C28" s="147">
        <f>IF(C8="ASD",1/1.5,1/1.2)*0.3*SQRT(C13/10.2/1.5)*10.2/(R12*R13)</f>
        <v>8.24621125123532</v>
      </c>
      <c r="D28" s="29" t="inlineStr">
        <is>
          <t>kg/cm2</t>
        </is>
      </c>
      <c r="E28" s="117" t="str">
        <f>C8</f>
        <v>ASD</v>
      </c>
      <c r="F28" s="29" t="n"/>
      <c r="H28" s="29" t="n"/>
      <c r="I28" s="29" t="n"/>
      <c r="U28" t="n">
        <v>4</v>
      </c>
    </row>
    <row r="29">
      <c r="A29" s="61" t="inlineStr">
        <is>
          <t>Bearing x √(A2/A1) =</t>
        </is>
      </c>
      <c r="C29" s="143">
        <f>MIN(2,SQRT(T20/B32))</f>
        <v>2.0</v>
      </c>
      <c r="D29" s="61" t="inlineStr">
        <is>
          <t>Allow =</t>
        </is>
      </c>
      <c r="E29" s="145">
        <f>C27*C29</f>
        <v>140.0</v>
      </c>
      <c r="F29" s="29" t="inlineStr">
        <is>
          <t>kg/cm2</t>
        </is>
      </c>
      <c r="G29" s="29" t="n"/>
      <c r="H29" s="29" t="n"/>
      <c r="I29" s="29" t="n"/>
      <c r="U29" t="n">
        <v>4.5</v>
      </c>
    </row>
    <row r="30">
      <c r="A30" s="53" t="inlineStr">
        <is>
          <t>Washer Properties:</t>
        </is>
      </c>
      <c r="C30" s="29" t="n"/>
      <c r="D30" s="29" t="n"/>
      <c r="E30" s="29" t="n"/>
      <c r="F30" s="29" t="n"/>
      <c r="G30" s="29" t="n"/>
      <c r="H30" s="29" t="n"/>
      <c r="I30" s="29" t="n"/>
      <c r="U30" t="n">
        <v>5</v>
      </c>
    </row>
    <row r="31">
      <c r="A31" s="61" t="inlineStr">
        <is>
          <t>Fy =</t>
        </is>
      </c>
      <c r="B31" s="141">
        <f>IF(C16="ST 37",2.4,IF(C16="ST 44",2.8,3.6))</f>
        <v>2.4</v>
      </c>
      <c r="C31" s="29" t="inlineStr">
        <is>
          <t>t/cm2</t>
        </is>
      </c>
      <c r="D31" s="61" t="inlineStr">
        <is>
          <t>Fu =</t>
        </is>
      </c>
      <c r="E31" s="141">
        <f>IF(C16="ST 37",3.6,IF(C16="ST 44",4.4,5.2))</f>
        <v>3.6</v>
      </c>
      <c r="F31" s="29" t="inlineStr">
        <is>
          <t>t/cm2</t>
        </is>
      </c>
      <c r="G31" s="29" t="n"/>
      <c r="H31" s="29" t="n"/>
      <c r="I31" s="29" t="n"/>
      <c r="U31" t="n">
        <v>6</v>
      </c>
    </row>
    <row r="32">
      <c r="A32" s="61" t="inlineStr">
        <is>
          <t>Area =</t>
        </is>
      </c>
      <c r="B32" s="143">
        <f>(PI()*C15^2/4)-B23</f>
        <v>43.1968989868597</v>
      </c>
      <c r="C32" s="29" t="inlineStr">
        <is>
          <t>cm2</t>
        </is>
      </c>
      <c r="D32" s="48" t="inlineStr">
        <is>
          <t>Bearing =</t>
        </is>
      </c>
      <c r="E32" s="143">
        <f>IF(C8="ASD",0.9,1.35)*B31</f>
        <v>2.16</v>
      </c>
      <c r="F32" s="29" t="inlineStr">
        <is>
          <t>t/cm2</t>
        </is>
      </c>
      <c r="G32" s="29" t="n"/>
      <c r="H32" s="29" t="n"/>
      <c r="I32" s="148" t="str">
        <f>C17&amp;" cm"</f>
        <v>1.6 cm</v>
      </c>
    </row>
    <row r="33">
      <c r="A33" s="48" t="inlineStr">
        <is>
          <t>Force transfer by bolt =</t>
        </is>
      </c>
      <c r="C33" s="149">
        <f>IF(C14="Yes",C24*C28,0)</f>
        <v>0.0</v>
      </c>
      <c r="D33" s="29" t="inlineStr">
        <is>
          <t>kg</t>
        </is>
      </c>
      <c r="E33" s="143">
        <f>C33/1000</f>
        <v>0.0</v>
      </c>
      <c r="F33" s="29" t="inlineStr">
        <is>
          <t>ton</t>
        </is>
      </c>
      <c r="G33" s="29" t="n"/>
      <c r="H33" s="29" t="n"/>
    </row>
    <row r="34" ht="15" customHeight="1" s="16">
      <c r="A34" s="48" t="inlineStr">
        <is>
          <t>Force in Washer =</t>
        </is>
      </c>
      <c r="C34" s="149">
        <f>IF(C14="Yes",MAX(C10*1000-C33,0),MAX(C10,0)*1000)</f>
        <v>4449.76801647886</v>
      </c>
      <c r="D34" s="29" t="inlineStr">
        <is>
          <t>kg</t>
        </is>
      </c>
      <c r="E34" s="143">
        <f>C34/1000</f>
        <v>4.44976801647886</v>
      </c>
      <c r="F34" s="29" t="inlineStr">
        <is>
          <t>ton</t>
        </is>
      </c>
      <c r="G34" s="29" t="n"/>
      <c r="H34" s="29" t="n"/>
      <c r="K34" s="101">
        <f>E34/B32</f>
        <v>0.103011283699612</v>
      </c>
      <c r="P34" s="140" t="str">
        <f>C12/20&amp;"cm"</f>
        <v>1.5cm</v>
      </c>
    </row>
    <row r="35">
      <c r="A35" s="48" t="inlineStr">
        <is>
          <t>Max Moment In Washer plate =</t>
        </is>
      </c>
      <c r="D35" s="143">
        <f>L14</f>
        <v>0.679588329962715</v>
      </c>
      <c r="E35" s="29" t="inlineStr">
        <is>
          <t>t.cm</t>
        </is>
      </c>
      <c r="F35" s="29" t="n"/>
      <c r="G35" s="29" t="n"/>
      <c r="H35" s="29" t="n"/>
    </row>
    <row r="36" ht="15" customHeight="1" s="16">
      <c r="A36" s="29" t="n"/>
      <c r="B36" s="29" t="n"/>
      <c r="C36" s="29" t="n"/>
      <c r="D36" s="29" t="n"/>
      <c r="E36" s="29" t="n"/>
      <c r="F36" s="29" t="n"/>
      <c r="G36" s="29" t="n"/>
      <c r="H36" s="29" t="n"/>
      <c r="K36" s="101">
        <f>6*D35/(1*1^2)</f>
        <v>4.07752997977629</v>
      </c>
    </row>
    <row r="37" ht="15" customHeight="1" s="16">
      <c r="A37" s="53" t="inlineStr">
        <is>
          <t>Washer Plate design:</t>
        </is>
      </c>
      <c r="C37" s="29" t="n"/>
      <c r="D37" s="29" t="n"/>
      <c r="E37" s="29" t="n"/>
      <c r="F37" s="29" t="n"/>
      <c r="G37" s="29" t="n"/>
      <c r="H37" s="29" t="n"/>
    </row>
    <row r="38" ht="15.75" customHeight="1" s="16" thickBot="1">
      <c r="A38" s="28" t="inlineStr">
        <is>
          <t>Allowable Stress =</t>
        </is>
      </c>
      <c r="B38" s="150">
        <f>IF(C8="ASD",0.72*B31,0.9*1.5*B31)</f>
        <v>1.728</v>
      </c>
      <c r="C38" s="21" t="inlineStr">
        <is>
          <t>t/cm2</t>
        </is>
      </c>
      <c r="D38" s="29" t="n"/>
      <c r="E38" s="29" t="n"/>
      <c r="F38" s="29" t="n"/>
      <c r="G38" s="29" t="n"/>
      <c r="H38" s="29" t="n"/>
    </row>
    <row r="39" ht="15.75" customHeight="1" s="16" thickBot="1">
      <c r="A39" s="51" t="inlineStr">
        <is>
          <t>Washer Plate Thickness Check:</t>
        </is>
      </c>
      <c r="C39" s="146" t="n"/>
      <c r="D39" s="151" t="inlineStr">
        <is>
          <t>t = √((6M) / (b × σ))</t>
        </is>
      </c>
      <c r="E39" s="152" t="n"/>
      <c r="F39" s="29" t="n"/>
      <c r="G39" s="29" t="n"/>
      <c r="H39" s="29" t="n"/>
      <c r="I39" s="29" t="n"/>
    </row>
    <row r="40">
      <c r="A40" s="58" t="inlineStr">
        <is>
          <t>Design Thickness =</t>
        </is>
      </c>
      <c r="C40" s="122">
        <f>((6*D35)/(1*B38))^0.5</f>
        <v>1.53612554866438</v>
      </c>
      <c r="D40" s="29" t="inlineStr">
        <is>
          <t>cm</t>
        </is>
      </c>
      <c r="E40" s="30" t="inlineStr">
        <is>
          <t>Diameter =</t>
        </is>
      </c>
      <c r="F40" s="153" t="str">
        <f>C15&amp;"cm"</f>
        <v>8cm</v>
      </c>
      <c r="G40" s="29" t="n"/>
      <c r="H40" s="29" t="n"/>
      <c r="I40" s="29" t="n"/>
    </row>
    <row r="41">
      <c r="A41" s="48" t="inlineStr">
        <is>
          <t>Concrete Bearing Check:</t>
        </is>
      </c>
      <c r="C41" s="29" t="n"/>
      <c r="D41" s="29" t="n"/>
      <c r="E41" s="29" t="n"/>
      <c r="F41" s="29" t="n"/>
      <c r="G41" s="29" t="n"/>
      <c r="H41" s="29" t="n"/>
      <c r="I41" s="29" t="n"/>
    </row>
    <row r="42" ht="18.75" customHeight="1" s="16">
      <c r="A42" s="29" t="inlineStr">
        <is>
          <t>Actual Bearing =</t>
        </is>
      </c>
      <c r="B42" s="145">
        <f>E34*1000/(B32)</f>
        <v>103.011283699612</v>
      </c>
      <c r="C42" s="29" t="inlineStr">
        <is>
          <t>kg/cm2</t>
        </is>
      </c>
      <c r="D42" s="141" t="str">
        <f>IF(B42&lt;=E29,"&lt; ","&gt; ")&amp;TEXT(E29,"0.0")</f>
        <v>&lt; 140.0</v>
      </c>
      <c r="E42" s="141" t="str">
        <f>"SR="&amp;TEXT(B42/E29,"0%")</f>
        <v>SR=74%</v>
      </c>
      <c r="F42" s="118" t="str">
        <f>IF(B42&lt;=E29,"Safe","Un-Safe")</f>
        <v>Safe</v>
      </c>
      <c r="G42" s="29" t="n"/>
      <c r="H42" s="154" t="str">
        <f>C15&amp;" cm"</f>
        <v>8 cm</v>
      </c>
      <c r="I42" s="29" t="n"/>
    </row>
    <row r="43" ht="15.75" customHeight="1" s="16">
      <c r="A43" s="48" t="inlineStr">
        <is>
          <t>Washer Bearing Check:</t>
        </is>
      </c>
      <c r="C43" s="29" t="n"/>
      <c r="D43" s="29" t="n"/>
      <c r="E43" s="29" t="n"/>
      <c r="F43" s="29" t="n"/>
      <c r="G43" s="55" t="inlineStr">
        <is>
          <t>Nut Area</t>
        </is>
      </c>
    </row>
    <row r="44">
      <c r="A44" s="28" t="inlineStr">
        <is>
          <t>Allowable Stress =</t>
        </is>
      </c>
      <c r="B44" s="150">
        <f>E32</f>
        <v>2.16</v>
      </c>
      <c r="C44" s="21" t="inlineStr">
        <is>
          <t>t/cm2</t>
        </is>
      </c>
      <c r="D44" s="29" t="inlineStr">
        <is>
          <t xml:space="preserve">Nut Area = </t>
        </is>
      </c>
      <c r="E44" s="143">
        <f>PI()*((1.5*C12/20)^2-(C12/20)^2)</f>
        <v>8.83572933822129</v>
      </c>
      <c r="F44" s="29" t="inlineStr">
        <is>
          <t>cm2</t>
        </is>
      </c>
      <c r="G44" s="29" t="n"/>
      <c r="H44" s="29" t="n"/>
      <c r="I44" s="29" t="n"/>
    </row>
    <row r="45">
      <c r="A45" s="29" t="inlineStr">
        <is>
          <t>Actual Bearing =</t>
        </is>
      </c>
      <c r="B45" s="143">
        <f>E34/E44</f>
        <v>0.503610720309212</v>
      </c>
      <c r="C45" s="141" t="str">
        <f>IF(B45&lt;=B44,"&lt;  ","&gt;  ")&amp;TEXT(B44,"0.00")&amp;" t/cm²"</f>
        <v>&lt;  2.16 t/cm²</v>
      </c>
      <c r="D45" s="99" t="str">
        <f>IF(F45="Safe", "Use Nut diameter = "&amp;1.5*C12/10&amp;" cm", "Use Cover Plate")</f>
        <v>Use Nut diameter = 4.5 cm</v>
      </c>
      <c r="F45" s="118" t="str">
        <f>IF(B45&lt;B44,"Safe","Un-Safe")</f>
        <v>Safe</v>
      </c>
      <c r="H45" s="29" t="n"/>
      <c r="I45" s="29" t="n"/>
    </row>
    <row r="46">
      <c r="A46" s="48" t="inlineStr">
        <is>
          <t>Washer Pull Check:</t>
        </is>
      </c>
      <c r="C46" s="29" t="n"/>
      <c r="D46" s="29" t="n"/>
      <c r="E46" s="29" t="n"/>
      <c r="F46" s="29" t="n"/>
      <c r="G46" s="29" t="n"/>
      <c r="H46" s="29" t="n"/>
      <c r="I46" s="29" t="n"/>
    </row>
    <row r="47">
      <c r="A47" s="28" t="inlineStr">
        <is>
          <t>Allowable Stress =</t>
        </is>
      </c>
      <c r="B47" s="150">
        <f>IF(C8="ASD",0.35,0.54)*B31</f>
        <v>0.84</v>
      </c>
      <c r="C47" s="21" t="inlineStr">
        <is>
          <t>t/cm2</t>
        </is>
      </c>
      <c r="D47" s="32" t="inlineStr">
        <is>
          <t xml:space="preserve">Pull Area = </t>
        </is>
      </c>
      <c r="E47" s="143">
        <f>IFERROR(PI()*(C12/10)*C17,0)</f>
        <v>15.079644737231</v>
      </c>
      <c r="F47" s="29" t="inlineStr">
        <is>
          <t>cm2</t>
        </is>
      </c>
      <c r="G47" s="29" t="n"/>
      <c r="H47" s="29" t="n"/>
    </row>
    <row r="48" ht="15.75" customHeight="1" s="16" thickBot="1">
      <c r="A48" s="28" t="inlineStr">
        <is>
          <t>Actual Stress =</t>
        </is>
      </c>
      <c r="B48" s="143">
        <f>IF(E47&gt;0,E34/E47,0)</f>
        <v>0.295084406431179</v>
      </c>
      <c r="C48" s="117" t="str">
        <f>IF(B48&lt;=B47,"&lt;  ","&gt;  ")&amp;TEXT(B47,"0.00")&amp;" t/cm²"</f>
        <v>&lt;  0.84 t/cm²</v>
      </c>
      <c r="E48" s="48" t="n"/>
      <c r="F48" s="118" t="str">
        <f>IF(B48&lt;=B47,"Safe","Un-Safe")</f>
        <v>Safe</v>
      </c>
      <c r="G48" s="29" t="n"/>
      <c r="H48" s="29" t="n"/>
      <c r="I48" s="29" t="n"/>
    </row>
    <row r="49" ht="15.75" customHeight="1" s="16" thickBot="1">
      <c r="A49" s="48" t="inlineStr">
        <is>
          <t>Bolt Shear Check:</t>
        </is>
      </c>
      <c r="D49" s="106" t="inlineStr">
        <is>
          <t>(ft / Ft)² + (q / qb)² ≤ 1.0</t>
        </is>
      </c>
      <c r="E49" s="107" t="n"/>
      <c r="F49" s="108" t="n"/>
      <c r="G49" s="29" t="n"/>
      <c r="H49" s="29" t="n"/>
      <c r="I49" s="155" t="str">
        <f>C15/2&amp;"cm"</f>
        <v>4cm</v>
      </c>
    </row>
    <row r="50">
      <c r="A50" s="48" t="inlineStr">
        <is>
          <t xml:space="preserve">Bolt Allowable shear = </t>
        </is>
      </c>
      <c r="C50" s="143">
        <f>IF(C8="ASD",0.25,0.30)*0.78*B23*E22</f>
        <v>7.16754363916511</v>
      </c>
      <c r="D50" s="117" t="str">
        <f>IF(C50&gt;='1-Base Plate'!$W$125,"&gt; ","&lt; ")&amp;TEXT('1-Base Plate'!$W$125,"0.00")</f>
        <v>&gt; 0.79</v>
      </c>
      <c r="E50" s="29" t="n"/>
      <c r="F50" s="118" t="str">
        <f>IF('1-Base Plate'!$W$125&lt;=C50,"Safe","Un-Safe")</f>
        <v>Safe</v>
      </c>
      <c r="G50" s="29" t="n"/>
      <c r="H50" s="29" t="n"/>
    </row>
    <row r="51">
      <c r="A51" s="48" t="inlineStr">
        <is>
          <t>Interaction =</t>
        </is>
      </c>
      <c r="C51" s="143">
        <f>(MAX(C10,0)/C25)^2+('1-Base Plate'!$W$125/C50)^2</f>
        <v>0.233366304001482</v>
      </c>
      <c r="D51" s="117" t="str">
        <f>IF(C51&lt;=1,"&lt; 1.0","&gt; 1.0")</f>
        <v>&lt; 1.0</v>
      </c>
      <c r="F51" s="118" t="str">
        <f>IF(C51&lt;=1,"Safe","Un-Safe")</f>
        <v>Safe</v>
      </c>
    </row>
    <row r="52">
      <c r="A52" s="48" t="inlineStr">
        <is>
          <t>Washer Place Check:</t>
        </is>
      </c>
      <c r="D52" s="106" t="inlineStr">
        <is>
          <t>D/2 + 5 ≤ c min  ;  D ≤ s min</t>
        </is>
      </c>
      <c r="E52" s="107" t="n"/>
      <c r="F52" s="108" t="n"/>
    </row>
    <row r="53">
      <c r="A53" s="61" t="inlineStr">
        <is>
          <t>c min =</t>
        </is>
      </c>
      <c r="B53" s="145">
        <f>'1-Base Plate'!$W$121</f>
        <v>15.0</v>
      </c>
      <c r="C53" s="29" t="inlineStr">
        <is>
          <t>cm</t>
        </is>
      </c>
      <c r="D53" s="61" t="inlineStr">
        <is>
          <t>s min =</t>
        </is>
      </c>
      <c r="E53" s="141" t="str">
        <f>IF('1-Base Plate'!$W$77&gt;1,TEXT('1-Base Plate'!$W$122,"0.0")&amp;" cm","-")</f>
        <v>20.0 cm</v>
      </c>
      <c r="F53" s="118" t="str">
        <f>IF(AND(C15/2+5&lt;=B53,OR('1-Base Plate'!$W$77=1,C15&lt;=N('1-Base Plate'!$W$122))),"Safe","Un-Safe")</f>
        <v>Safe</v>
      </c>
    </row>
    <row r="54">
      <c r="A54" s="156" t="inlineStr">
        <is>
          <t>Concrete breakout, side-face blowout, pryout and the pedestal reinforcement  →  sheet "3-Pedestal".</t>
        </is>
      </c>
    </row>
  </sheetData>
  <sheetProtection selectLockedCells="0" selectUnlockedCells="0" sheet="1" objects="1" insertRows="1" insertHyperlinks="1" autoFilter="1" scenarios="1" formatColumns="1" deleteColumns="1" insertColumns="1" pivotTables="1" deleteRows="1" formatCells="1" formatRows="1" sort="1" password="F496"/>
  <mergeCells count="56">
    <mergeCell ref="A24:B24"/>
    <mergeCell ref="A30:B30"/>
    <mergeCell ref="A15:B15"/>
    <mergeCell ref="A54:I54"/>
    <mergeCell ref="A11:B11"/>
    <mergeCell ref="A51:B51"/>
    <mergeCell ref="D52:F52"/>
    <mergeCell ref="D45:E45"/>
    <mergeCell ref="B18:F18"/>
    <mergeCell ref="C4:D4"/>
    <mergeCell ref="L4:T4"/>
    <mergeCell ref="G23:G28"/>
    <mergeCell ref="A16:B16"/>
    <mergeCell ref="A2:I2"/>
    <mergeCell ref="A25:B25"/>
    <mergeCell ref="A41:B41"/>
    <mergeCell ref="A37:B37"/>
    <mergeCell ref="A46:B46"/>
    <mergeCell ref="P2:T2"/>
    <mergeCell ref="A35:C35"/>
    <mergeCell ref="A27:B27"/>
    <mergeCell ref="R1:S1"/>
    <mergeCell ref="A12:B12"/>
    <mergeCell ref="A50:B50"/>
    <mergeCell ref="A52:C52"/>
    <mergeCell ref="A26:B26"/>
    <mergeCell ref="A21:B21"/>
    <mergeCell ref="A33:B33"/>
    <mergeCell ref="L3:O3"/>
    <mergeCell ref="A14:B14"/>
    <mergeCell ref="A39:C39"/>
    <mergeCell ref="A17:B17"/>
    <mergeCell ref="C48:D48"/>
    <mergeCell ref="A8:B8"/>
    <mergeCell ref="G43:I43"/>
    <mergeCell ref="D39:E39"/>
    <mergeCell ref="A4:B4"/>
    <mergeCell ref="D8:E8"/>
    <mergeCell ref="B3:D3"/>
    <mergeCell ref="A49:C49"/>
    <mergeCell ref="A29:B29"/>
    <mergeCell ref="P3:T3"/>
    <mergeCell ref="A43:B43"/>
    <mergeCell ref="A10:B10"/>
    <mergeCell ref="A28:B28"/>
    <mergeCell ref="A1:I1"/>
    <mergeCell ref="M1:O1"/>
    <mergeCell ref="A13:B13"/>
    <mergeCell ref="E17:G17"/>
    <mergeCell ref="A40:B40"/>
    <mergeCell ref="A9:B9"/>
    <mergeCell ref="I32:I38"/>
    <mergeCell ref="G7:I7"/>
    <mergeCell ref="M2:O2"/>
    <mergeCell ref="D49:F49"/>
    <mergeCell ref="A34:B34"/>
  </mergeCells>
  <conditionalFormatting sqref="F42">
    <cfRule type="expression" priority="10" dxfId="2">
      <formula>$F$42="Un-Safe"</formula>
    </cfRule>
  </conditionalFormatting>
  <conditionalFormatting sqref="C17">
    <cfRule type="expression" priority="8" dxfId="7" stopIfTrue="1">
      <formula>$C$17="Not Required"</formula>
    </cfRule>
  </conditionalFormatting>
  <conditionalFormatting sqref="F25">
    <cfRule type="expression" priority="7" dxfId="2">
      <formula>$F$25="Un-Safe"</formula>
    </cfRule>
  </conditionalFormatting>
  <conditionalFormatting sqref="F45">
    <cfRule type="expression" priority="6" dxfId="2">
      <formula>$F$45="Un-Safe"</formula>
    </cfRule>
  </conditionalFormatting>
  <conditionalFormatting sqref="F48">
    <cfRule type="expression" priority="5" dxfId="2">
      <formula>$F$48="Un-Safe"</formula>
    </cfRule>
  </conditionalFormatting>
  <conditionalFormatting sqref="E47">
    <cfRule type="expression" priority="4" dxfId="2">
      <formula>$E$47="No Washer"</formula>
    </cfRule>
  </conditionalFormatting>
  <conditionalFormatting sqref="F50">
    <cfRule type="expression" priority="3" dxfId="2">
      <formula>$F$50="Un-Safe"</formula>
    </cfRule>
    <cfRule type="expression" priority="10" dxfId="2">
      <formula>F50="Un-Safe"</formula>
    </cfRule>
  </conditionalFormatting>
  <conditionalFormatting sqref="E17">
    <cfRule type="expression" priority="2" dxfId="1">
      <formula>$E$17="Safe"</formula>
    </cfRule>
  </conditionalFormatting>
  <conditionalFormatting sqref="E17:G17">
    <cfRule type="expression" priority="1" dxfId="0">
      <formula>$E$17="Safe"</formula>
    </cfRule>
  </conditionalFormatting>
  <conditionalFormatting sqref="F51">
    <cfRule type="expression" priority="11" dxfId="2">
      <formula>F51="Un-Safe"</formula>
    </cfRule>
  </conditionalFormatting>
  <conditionalFormatting sqref="F53">
    <cfRule type="expression" priority="12" dxfId="2">
      <formula>F53="Un-Safe"</formula>
    </cfRule>
  </conditionalFormatting>
  <dataValidations count="7">
    <dataValidation sqref="C16" showDropDown="0" showInputMessage="1" showErrorMessage="1" allowBlank="1" type="list">
      <formula1>"ST 37,ST 44,ST 52"</formula1>
    </dataValidation>
    <dataValidation sqref="C12" showDropDown="0" showInputMessage="1" showErrorMessage="1" allowBlank="1" type="list">
      <formula1>"12,16,20,24,27,30,36,42,48"</formula1>
    </dataValidation>
    <dataValidation sqref="C28" showDropDown="0" showInputMessage="1" showErrorMessage="1" allowBlank="1" type="list">
      <formula1>"8,10,12"</formula1>
    </dataValidation>
    <dataValidation sqref="F8" showDropDown="0" showInputMessage="1" showErrorMessage="1" allowBlank="1" type="list">
      <formula1>"Straight,U-Shape"</formula1>
    </dataValidation>
    <dataValidation sqref="F15" showDropDown="0" showInputMessage="1" showErrorMessage="1" allowBlank="1" type="list">
      <formula1>"Plain,Deformed"</formula1>
    </dataValidation>
    <dataValidation sqref="C9" showDropDown="0" showInputMessage="1" showErrorMessage="1" allowBlank="1" type="list">
      <formula1>"ST 37,ST 44,ST 52,G4.6,G4.8,G5.6,G5.8,G6.8,G8.8,G10.9"</formula1>
    </dataValidation>
    <dataValidation sqref="C14" showDropDown="0" showInputMessage="0" showErrorMessage="0" allowBlank="0" type="list">
      <formula1>"No,Yes"</formula1>
    </dataValidation>
  </dataValidations>
  <hyperlinks>
    <hyperlink xmlns:r="http://schemas.openxmlformats.org/officeDocument/2006/relationships" ref="P2" display="WhatsApp" r:id="rId1"/>
    <hyperlink xmlns:r="http://schemas.openxmlformats.org/officeDocument/2006/relationships" ref="L3" r:id="rId2"/>
    <hyperlink xmlns:r="http://schemas.openxmlformats.org/officeDocument/2006/relationships" ref="P3" r:id="rId3"/>
    <hyperlink xmlns:r="http://schemas.openxmlformats.org/officeDocument/2006/relationships" ref="L4" r:id="rId4"/>
  </hyperlinks>
  <pageMargins left="0.4" right="0.4" top="0.5" bottom="0.5" header="0.5" footer="0.5"/>
  <pageSetup orientation="portrait" paperSize="9" scale="86" fitToHeight="1" fitToWidth="1"/>
  <drawing r:id="rIdDrwOrig"/>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CN240"/>
  <sheetViews>
    <sheetView tabSelected="0" zoomScale="100" workbookViewId="0">
      <selection activeCell="A1" sqref="A1"/>
    </sheetView>
  </sheetViews>
  <sheetFormatPr baseColWidth="8" defaultRowHeight="15"/>
  <cols>
    <col width="15.140625" customWidth="1" style="16" min="1" max="1"/>
    <col width="9.7109375" customWidth="1" style="16" min="2" max="2"/>
    <col width="9.140625" customWidth="1" style="16" min="3" max="3"/>
    <col width="11.140625" customWidth="1" style="16" min="4" max="4"/>
    <col width="10.42578125" customWidth="1" style="16" min="5" max="5"/>
    <col width="10.7109375" customWidth="1" style="16" min="6" max="6"/>
    <col width="5.7109375" customWidth="1" style="16" min="7" max="7"/>
    <col width="9.5" customWidth="1" style="16" min="8" max="8"/>
    <col width="9.5" customWidth="1" style="16" min="9" max="9"/>
    <col hidden="1" width="13" customWidth="1" style="16" min="22" max="22"/>
    <col hidden="1" width="13" customWidth="1" style="16" min="23" max="23"/>
    <col hidden="1" width="13" customWidth="1" style="16" min="24" max="24"/>
    <col hidden="1" width="13" customWidth="1" style="16" min="25" max="25"/>
    <col hidden="1" width="13" customWidth="1" style="16" min="26" max="26"/>
    <col hidden="1" width="13" customWidth="1" style="16" min="27" max="27"/>
    <col hidden="1" width="13" customWidth="1" style="16" min="28" max="28"/>
    <col hidden="1" width="13" customWidth="1" style="16" min="29" max="29"/>
    <col hidden="1" width="13" customWidth="1" style="16" min="30" max="30"/>
    <col hidden="1" width="13" customWidth="1" style="16" min="31" max="31"/>
    <col hidden="1" width="13" customWidth="1" style="16" min="32" max="32"/>
    <col hidden="1" width="13" customWidth="1" style="16" min="33" max="33"/>
    <col hidden="1" width="13" customWidth="1" style="16" min="34" max="34"/>
    <col hidden="1" width="13" customWidth="1" style="16" min="35" max="35"/>
    <col hidden="1" width="13" customWidth="1" style="16" min="36" max="36"/>
    <col hidden="1" width="13" customWidth="1" style="16" min="37" max="37"/>
    <col hidden="1" width="13" customWidth="1" style="16" min="38" max="38"/>
    <col hidden="1" width="13" customWidth="1" style="16" min="39" max="39"/>
    <col hidden="1" width="13" customWidth="1" style="16" min="40" max="40"/>
    <col hidden="1" width="13" customWidth="1" style="16" min="41" max="41"/>
    <col hidden="1" width="13" customWidth="1" style="16" min="42" max="42"/>
    <col hidden="1" width="13" customWidth="1" style="16" min="43" max="43"/>
    <col hidden="1" width="13" customWidth="1" style="16" min="44" max="44"/>
    <col hidden="1" width="13" customWidth="1" style="16" min="45" max="45"/>
    <col hidden="1" width="13" customWidth="1" style="16" min="46" max="46"/>
    <col hidden="1" width="13" customWidth="1" style="16" min="47" max="47"/>
    <col hidden="1" width="13" customWidth="1" style="16" min="48" max="48"/>
    <col hidden="1" width="13" customWidth="1" style="16" min="49" max="49"/>
    <col hidden="1" width="13" customWidth="1" style="16" min="50" max="50"/>
    <col hidden="1" width="13" customWidth="1" style="16" min="51" max="51"/>
    <col hidden="1" width="13" customWidth="1" style="16" min="52" max="52"/>
    <col hidden="1" width="13" customWidth="1" style="16" min="53" max="53"/>
    <col hidden="1" width="13" customWidth="1" style="16" min="54" max="54"/>
    <col hidden="1" width="13" customWidth="1" style="16" min="55" max="55"/>
    <col hidden="1" width="13" customWidth="1" style="16" min="56" max="56"/>
    <col hidden="1" width="13" customWidth="1" style="16" min="57" max="57"/>
    <col hidden="1" width="13" customWidth="1" style="16" min="58" max="58"/>
    <col hidden="1" width="13" customWidth="1" style="16" min="59" max="59"/>
    <col hidden="1" width="13" customWidth="1" style="16" min="60" max="60"/>
    <col hidden="1" width="13" customWidth="1" style="16" min="61" max="61"/>
    <col hidden="1" width="13" customWidth="1" style="16" min="62" max="62"/>
    <col hidden="1" width="13" customWidth="1" style="16" min="63" max="63"/>
    <col hidden="1" width="13" customWidth="1" style="16" min="64" max="64"/>
    <col hidden="1" width="13" customWidth="1" style="16" min="65" max="65"/>
    <col hidden="1" width="13" customWidth="1" style="16" min="66" max="66"/>
    <col hidden="1" width="13" customWidth="1" style="16" min="67" max="67"/>
    <col hidden="1" width="13" customWidth="1" style="16" min="68" max="68"/>
    <col hidden="1" width="13" customWidth="1" style="16" min="69" max="69"/>
    <col hidden="1" width="13" customWidth="1" style="16" min="70" max="70"/>
    <col hidden="1" width="13" customWidth="1" style="16" min="71" max="71"/>
    <col hidden="1" width="13" customWidth="1" style="16" min="72" max="72"/>
    <col hidden="1" width="13" customWidth="1" style="16" min="73" max="73"/>
    <col hidden="1" width="13" customWidth="1" style="16" min="74" max="74"/>
    <col hidden="1" width="13" customWidth="1" style="16" min="75" max="75"/>
    <col hidden="1" width="13" customWidth="1" style="16" min="76" max="76"/>
    <col hidden="1" width="13" customWidth="1" style="16" min="77" max="77"/>
    <col hidden="1" width="13" customWidth="1" style="16" min="78" max="78"/>
    <col hidden="1" width="13" customWidth="1" style="16" min="79" max="79"/>
    <col hidden="1" width="13" customWidth="1" style="16" min="80" max="80"/>
    <col hidden="1" width="13" customWidth="1" style="16" min="81" max="81"/>
    <col hidden="1" width="13" customWidth="1" style="16" min="82" max="82"/>
    <col hidden="1" width="13" customWidth="1" style="16" min="83" max="83"/>
    <col hidden="1" width="13" customWidth="1" style="16" min="84" max="84"/>
    <col hidden="1" width="13" customWidth="1" style="16" min="85" max="85"/>
    <col hidden="1" width="13" customWidth="1" style="16" min="86" max="86"/>
    <col hidden="1" width="13" customWidth="1" style="16" min="87" max="87"/>
    <col hidden="1" width="13" customWidth="1" style="16" min="88" max="88"/>
    <col hidden="1" width="13" customWidth="1" style="16" min="89" max="89"/>
    <col hidden="1" width="13" customWidth="1" style="16" min="90" max="90"/>
    <col hidden="1" width="13" customWidth="1" style="16" min="91" max="91"/>
    <col hidden="1" width="13" customWidth="1" style="16" min="92" max="92"/>
  </cols>
  <sheetData>
    <row r="1" ht="15.75" customHeight="1" s="16">
      <c r="A1" s="67" t="inlineStr">
        <is>
          <t>MOHAMED MUSTAFA  |  Steel Structures Design</t>
        </is>
      </c>
      <c r="L1" s="5" t="inlineStr">
        <is>
          <t>DESIGN BY :</t>
        </is>
      </c>
      <c r="M1" s="73" t="inlineStr">
        <is>
          <t>ENG. Mohamed Mustafa</t>
        </is>
      </c>
      <c r="N1" s="81" t="n"/>
      <c r="O1" s="81" t="n"/>
      <c r="P1" s="74" t="inlineStr">
        <is>
          <t>REV. NO. :</t>
        </is>
      </c>
      <c r="Q1" s="74" t="n">
        <v>3</v>
      </c>
      <c r="R1" s="74" t="inlineStr">
        <is>
          <t>DATE OF REV :</t>
        </is>
      </c>
      <c r="S1" s="81" t="n"/>
      <c r="T1" s="7" t="n">
        <v>45940</v>
      </c>
    </row>
    <row r="2" ht="15.75" customHeight="1" s="16">
      <c r="A2" s="67" t="inlineStr">
        <is>
          <t>Concrete Pedestal Design - ACI 318-19 Ch.17 (Anchorage) + ECP 203 (Section)</t>
        </is>
      </c>
      <c r="L2" s="8" t="inlineStr">
        <is>
          <t>Phone</t>
        </is>
      </c>
      <c r="M2" s="82" t="str">
        <f>"01140949980"</f>
        <v>01140949980</v>
      </c>
      <c r="P2" s="83" t="inlineStr">
        <is>
          <t>WhatsApp</t>
        </is>
      </c>
      <c r="Q2" s="84" t="n"/>
      <c r="R2" s="84" t="n"/>
      <c r="S2" s="84" t="n"/>
      <c r="T2" s="85" t="n"/>
    </row>
    <row r="3" ht="15.75" customHeight="1" s="16">
      <c r="A3" s="9" t="inlineStr">
        <is>
          <t>DESIGN BY :</t>
        </is>
      </c>
      <c r="B3" s="70" t="inlineStr">
        <is>
          <t>ENG. Mohamed Mustafa</t>
        </is>
      </c>
      <c r="E3" s="29" t="n"/>
      <c r="F3" s="29" t="n"/>
      <c r="G3" s="29" t="n"/>
      <c r="H3" s="29" t="n"/>
      <c r="I3" s="29" t="n"/>
      <c r="L3" s="86" t="inlineStr">
        <is>
          <t>Linkedin account</t>
        </is>
      </c>
      <c r="M3" s="84" t="n"/>
      <c r="N3" s="84" t="n"/>
      <c r="O3" s="84" t="n"/>
      <c r="P3" s="87" t="inlineStr">
        <is>
          <t>Facebook account</t>
        </is>
      </c>
      <c r="Q3" s="84" t="n"/>
      <c r="R3" s="84" t="n"/>
      <c r="S3" s="84" t="n"/>
      <c r="T3" s="85" t="n"/>
    </row>
    <row r="4">
      <c r="A4" s="72" t="inlineStr">
        <is>
          <t>Project ID. :</t>
        </is>
      </c>
      <c r="C4" s="88" t="n"/>
      <c r="E4" s="29" t="n"/>
      <c r="F4" s="29" t="n"/>
      <c r="G4" s="29" t="n"/>
      <c r="H4" s="29" t="n"/>
      <c r="I4" s="29" t="n"/>
      <c r="L4" s="89" t="inlineStr">
        <is>
          <t>Portfolio</t>
        </is>
      </c>
      <c r="M4" s="90" t="n"/>
      <c r="N4" s="90" t="n"/>
      <c r="O4" s="90" t="n"/>
      <c r="P4" s="90" t="n"/>
      <c r="Q4" s="90" t="n"/>
      <c r="R4" s="90" t="n"/>
      <c r="S4" s="90" t="n"/>
      <c r="T4" s="90" t="n"/>
    </row>
    <row r="5"/>
    <row r="6">
      <c r="A6" s="25" t="inlineStr">
        <is>
          <t>Data Entry</t>
        </is>
      </c>
    </row>
    <row r="7"/>
    <row r="8">
      <c r="A8" s="60" t="inlineStr">
        <is>
          <t>Pedestal :</t>
        </is>
      </c>
      <c r="C8" s="134" t="inlineStr">
        <is>
          <t>Reinforced</t>
        </is>
      </c>
      <c r="D8" s="49" t="inlineStr">
        <is>
          <t>Rebar Steel :</t>
        </is>
      </c>
      <c r="F8" s="134" t="inlineStr">
        <is>
          <t>36/52</t>
        </is>
      </c>
    </row>
    <row r="9">
      <c r="A9" s="60" t="inlineStr">
        <is>
          <t>Pedestal Height =</t>
        </is>
      </c>
      <c r="C9" s="91" t="n">
        <v>150</v>
      </c>
      <c r="D9" s="49" t="inlineStr">
        <is>
          <t>Main Bar Ø =</t>
        </is>
      </c>
      <c r="F9" s="91" t="n">
        <v>16</v>
      </c>
      <c r="G9" s="29" t="inlineStr">
        <is>
          <t>mm</t>
        </is>
      </c>
    </row>
    <row r="10">
      <c r="A10" s="60" t="inlineStr">
        <is>
          <t>Clear Cover =</t>
        </is>
      </c>
      <c r="C10" s="91" t="n">
        <v>5</v>
      </c>
      <c r="D10" s="49" t="inlineStr">
        <is>
          <t>Tie Ø =</t>
        </is>
      </c>
      <c r="F10" s="91" t="n">
        <v>10</v>
      </c>
      <c r="G10" s="29" t="inlineStr">
        <is>
          <t>mm</t>
        </is>
      </c>
    </row>
    <row r="11">
      <c r="D11" s="49" t="inlineStr">
        <is>
          <t>Status :</t>
        </is>
      </c>
      <c r="F11" s="118" t="str">
        <f>IF(AND(OR(F53="Safe",F53="N/A",F53="By Rft."),OR(F57="Safe",F57="N/A",F57="By Rft."),OR(I62="Safe",I62="N/A",I62="By Rft."),OR(I63="Safe",I63="N/A",I63="By Rft."),OR(F68="Safe",F68="N/A",F68="By Rft."),OR(F72="Safe",F72="N/A",F72="By Rft."),OR(F78="Safe",F78="N/A",F78="By Rft."),OR(F79="Safe",F79="N/A",F79="By Rft."),OR(F80="Safe",F80="N/A",F80="By Rft.")),"Safe","Check design steps")</f>
        <v>Safe</v>
      </c>
    </row>
    <row r="12"/>
    <row r="13">
      <c r="A13" s="98" t="inlineStr">
        <is>
          <t>Data From Sheets 1 &amp; 2:</t>
        </is>
      </c>
    </row>
    <row r="14">
      <c r="A14" s="61" t="inlineStr">
        <is>
          <t>Bx × By =</t>
        </is>
      </c>
      <c r="B14" s="157" t="str">
        <f>$W$43&amp;" × "&amp;$W$44</f>
        <v>80 × 60</v>
      </c>
      <c r="C14" s="29" t="inlineStr">
        <is>
          <t>cm</t>
        </is>
      </c>
      <c r="D14" s="61" t="inlineStr">
        <is>
          <t>f'c = 0.8fcu =</t>
        </is>
      </c>
      <c r="E14" s="103">
        <f>$W$46</f>
        <v>19.6078431372549</v>
      </c>
      <c r="F14" s="29" t="inlineStr">
        <is>
          <t>MPa</t>
        </is>
      </c>
    </row>
    <row r="15">
      <c r="A15" s="61" t="inlineStr">
        <is>
          <t>hef =</t>
        </is>
      </c>
      <c r="B15" s="105">
        <f>$W$47</f>
        <v>120.0</v>
      </c>
      <c r="C15" s="29" t="inlineStr">
        <is>
          <t>cm</t>
        </is>
      </c>
      <c r="D15" s="61" t="inlineStr">
        <is>
          <t>Bolt Ø =</t>
        </is>
      </c>
      <c r="E15" s="105">
        <f>$W$48</f>
        <v>30.0</v>
      </c>
      <c r="F15" s="29" t="inlineStr">
        <is>
          <t>mm</t>
        </is>
      </c>
    </row>
    <row r="16">
      <c r="A16" s="61" t="inlineStr">
        <is>
          <t>Washer D =</t>
        </is>
      </c>
      <c r="B16" s="105">
        <f>$W$50</f>
        <v>8.0</v>
      </c>
      <c r="C16" s="29" t="inlineStr">
        <is>
          <t>cm</t>
        </is>
      </c>
      <c r="D16" s="61" t="inlineStr">
        <is>
          <t>Abrg =</t>
        </is>
      </c>
      <c r="E16" s="103">
        <f>$W$49</f>
        <v>43.1968989868597</v>
      </c>
      <c r="F16" s="29" t="inlineStr">
        <is>
          <t>cm2</t>
        </is>
      </c>
    </row>
    <row r="17">
      <c r="A17" s="61" t="inlineStr">
        <is>
          <t>N =</t>
        </is>
      </c>
      <c r="B17" s="104">
        <f>IF($W$41,"-",ABS('1-Base Plate'!$W$73))</f>
        <v>20.0</v>
      </c>
      <c r="C17" s="141" t="str">
        <f>IF('1-Base Plate'!$W$73&gt;=0,"ton (C)","ton (T)")</f>
        <v>ton (C)</v>
      </c>
      <c r="D17" s="61" t="inlineStr">
        <is>
          <t>M =</t>
        </is>
      </c>
      <c r="E17" s="104">
        <f>IF($W$41,"-",'1-Base Plate'!$W$76/100)</f>
        <v>8.0</v>
      </c>
      <c r="F17" s="29" t="inlineStr">
        <is>
          <t>t.m</t>
        </is>
      </c>
    </row>
    <row r="18">
      <c r="A18" s="61" t="inlineStr">
        <is>
          <t>Vx =</t>
        </is>
      </c>
      <c r="B18" s="104">
        <f>SUM($AN$25:$AN$36)</f>
        <v>3.0</v>
      </c>
      <c r="C18" s="29" t="inlineStr">
        <is>
          <t>ton</t>
        </is>
      </c>
      <c r="D18" s="61" t="inlineStr">
        <is>
          <t>Vy =</t>
        </is>
      </c>
      <c r="E18" s="104">
        <f>SUM($AO$25:$AO$36)</f>
        <v>1.0</v>
      </c>
      <c r="F18" s="29" t="inlineStr">
        <is>
          <t>ton</t>
        </is>
      </c>
    </row>
    <row r="19">
      <c r="A19" s="61" t="inlineStr">
        <is>
          <t>Tension bolts =</t>
        </is>
      </c>
      <c r="B19" s="105">
        <f>$W$56</f>
        <v>2.0</v>
      </c>
      <c r="D19" s="61" t="inlineStr">
        <is>
          <t>Σ(T+Q) =</t>
        </is>
      </c>
      <c r="E19" s="104">
        <f>$W$57</f>
        <v>8.89953603295773</v>
      </c>
      <c r="F19" s="29" t="inlineStr">
        <is>
          <t>ton</t>
        </is>
      </c>
    </row>
    <row r="20">
      <c r="A20" s="61" t="inlineStr">
        <is>
          <t>Max (T+Q) =</t>
        </is>
      </c>
      <c r="B20" s="104">
        <f>$W$58</f>
        <v>4.44976801647886</v>
      </c>
      <c r="C20" s="29" t="inlineStr">
        <is>
          <t>ton</t>
        </is>
      </c>
      <c r="D20" s="61" t="inlineStr">
        <is>
          <t>Design =</t>
        </is>
      </c>
      <c r="E20" s="157" t="str">
        <f>'1-Base Plate'!C8</f>
        <v>ASD</v>
      </c>
    </row>
    <row r="21"/>
    <row r="22">
      <c r="A22" s="98" t="inlineStr">
        <is>
          <t>Pedestal Plan (to scale) :</t>
        </is>
      </c>
    </row>
    <row r="23"/>
    <row r="24">
      <c r="V24" t="inlineStr">
        <is>
          <t>act</t>
        </is>
      </c>
      <c r="W24" t="inlineStr">
        <is>
          <t>x</t>
        </is>
      </c>
      <c r="X24" t="inlineStr">
        <is>
          <t>y</t>
        </is>
      </c>
      <c r="Y24" t="inlineStr">
        <is>
          <t>T+Q</t>
        </is>
      </c>
      <c r="Z24" t="inlineStr">
        <is>
          <t>tension</t>
        </is>
      </c>
      <c r="AA24" t="inlineStr">
        <is>
          <t>x t</t>
        </is>
      </c>
      <c r="AB24" t="inlineStr">
        <is>
          <t>y t</t>
        </is>
      </c>
      <c r="AC24" t="inlineStr">
        <is>
          <t>F·x</t>
        </is>
      </c>
      <c r="AD24" t="inlineStr">
        <is>
          <t>F·y</t>
        </is>
      </c>
      <c r="AE24" t="inlineStr">
        <is>
          <t>cx</t>
        </is>
      </c>
      <c r="AF24" t="inlineStr">
        <is>
          <t>cy</t>
        </is>
      </c>
      <c r="AG24" t="inlineStr">
        <is>
          <t>ca1</t>
        </is>
      </c>
      <c r="AH24" t="inlineStr">
        <is>
          <t>ca2</t>
        </is>
      </c>
      <c r="AI24" t="inlineStr">
        <is>
          <t>side-face?</t>
        </is>
      </c>
      <c r="AJ24" t="inlineStr">
        <is>
          <t>Nsb</t>
        </is>
      </c>
      <c r="AK24" t="inlineStr">
        <is>
          <t>cap</t>
        </is>
      </c>
      <c r="AL24" t="inlineStr">
        <is>
          <t>ratio</t>
        </is>
      </c>
      <c r="AM24" t="inlineStr">
        <is>
          <t>side</t>
        </is>
      </c>
      <c r="AN24" t="inlineStr">
        <is>
          <t>Vx</t>
        </is>
      </c>
      <c r="AO24" t="inlineStr">
        <is>
          <t>Vy</t>
        </is>
      </c>
      <c r="AP24" t="inlineStr">
        <is>
          <t>pair distances (tension bolts)</t>
        </is>
      </c>
      <c r="BB24" t="inlineStr">
        <is>
          <t>x all</t>
        </is>
      </c>
      <c r="BC24" t="inlineStr">
        <is>
          <t>y all</t>
        </is>
      </c>
      <c r="BN24" t="inlineStr">
        <is>
          <t>layer depth</t>
        </is>
      </c>
      <c r="BO24" t="inlineStr">
        <is>
          <t>layer As</t>
        </is>
      </c>
    </row>
    <row r="25">
      <c r="V25" s="101" t="b">
        <f>'1-Base Plate'!V37</f>
        <v>1</v>
      </c>
      <c r="W25" s="101">
        <f>'1-Base Plate'!W37</f>
        <v>-25.0</v>
      </c>
      <c r="X25" s="101">
        <f>'1-Base Plate'!X37</f>
        <v>-10.0</v>
      </c>
      <c r="Y25" s="101">
        <f>'1-Base Plate'!AU37</f>
        <v>4.44976801647886</v>
      </c>
      <c r="Z25" s="101" t="b">
        <f>AND(V25,Y25&gt;0.0001)</f>
        <v>1</v>
      </c>
      <c r="AA25" s="101">
        <f>IF(Z25,W25,"")</f>
        <v>-25.0</v>
      </c>
      <c r="AB25" s="101">
        <f>IF(Z25,X25,"")</f>
        <v>-10.0</v>
      </c>
      <c r="AC25" s="101">
        <f>IF(Z25,Y25*W25,0)</f>
        <v>-111.244200411972</v>
      </c>
      <c r="AD25" s="101">
        <f>IF(Z25,Y25*X25,0)</f>
        <v>-44.4976801647886</v>
      </c>
      <c r="AE25" s="101">
        <f>$W$43/2-ABS(W25)</f>
        <v>15.0</v>
      </c>
      <c r="AF25" s="101">
        <f>$W$44/2-ABS(X25)</f>
        <v>20.0</v>
      </c>
      <c r="AG25" s="101">
        <f>IF(Z25,MIN(AE25,AF25),"")</f>
        <v>15.0</v>
      </c>
      <c r="AH25" s="101">
        <f>IF(Z25,MAX(AE25,AF25),"")</f>
        <v>20.0</v>
      </c>
      <c r="AI25" s="101" t="b">
        <f>IF(Z25,$W$47&gt;2.5*AG25,FALSE)</f>
        <v>1</v>
      </c>
      <c r="AJ25" s="101">
        <f>IF(AI25,13*AG25*10*SQRT($W$49*100)*SQRT($W$46)/1000*IF(AH25&lt;3*AG25,(1+AH25/AG25)/4,1),"")</f>
        <v>331.049245728612</v>
      </c>
      <c r="AK25" s="101">
        <f>IF(AI25,$W$52*AJ25/$W$53,"")</f>
        <v>165.524622864306</v>
      </c>
      <c r="AL25" s="101">
        <f>IF(AI25,Y25*9.81/AK25,"")</f>
        <v>0.263720427126077</v>
      </c>
      <c r="AM25" s="101">
        <f>IF(Z25,SIGN(IF($W$42,W25,X25)),0)</f>
        <v>-1.0</v>
      </c>
      <c r="AN25" s="101">
        <f>'1-Base Plate'!AC37</f>
        <v>0.75</v>
      </c>
      <c r="AO25" s="101">
        <f>'1-Base Plate'!AD37</f>
        <v>0.25</v>
      </c>
      <c r="AQ25" s="101">
        <f>IF(AND(Z25,Z26),SQRT((W25-W26)^2+(X25-X26)^2),"")</f>
        <v/>
      </c>
      <c r="AR25" s="101">
        <f>IF(AND(Z25,Z27),SQRT((W25-W27)^2+(X25-X27)^2),"")</f>
        <v/>
      </c>
      <c r="AS25" s="101">
        <f>IF(AND(Z25,Z28),SQRT((W25-W28)^2+(X25-X28)^2),"")</f>
        <v>20.0</v>
      </c>
      <c r="AT25" s="101">
        <f>IF(AND(Z25,Z29),SQRT((W25-W29)^2+(X25-X29)^2),"")</f>
        <v/>
      </c>
      <c r="AU25" s="101">
        <f>IF(AND(Z25,Z30),SQRT((W25-W30)^2+(X25-X30)^2),"")</f>
        <v/>
      </c>
      <c r="AV25" s="101">
        <f>IF(AND(Z25,Z31),SQRT((W25-W31)^2+(X25-X31)^2),"")</f>
        <v/>
      </c>
      <c r="AW25" s="101">
        <f>IF(AND(Z25,Z32),SQRT((W25-W32)^2+(X25-X32)^2),"")</f>
        <v/>
      </c>
      <c r="AX25" s="101">
        <f>IF(AND(Z25,Z33),SQRT((W25-W33)^2+(X25-X33)^2),"")</f>
        <v/>
      </c>
      <c r="AY25" s="101">
        <f>IF(AND(Z25,Z34),SQRT((W25-W34)^2+(X25-X34)^2),"")</f>
        <v/>
      </c>
      <c r="AZ25" s="101">
        <f>IF(AND(Z25,Z35),SQRT((W25-W35)^2+(X25-X35)^2),"")</f>
        <v/>
      </c>
      <c r="BA25" s="101">
        <f>IF(AND(Z25,Z36),SQRT((W25-W36)^2+(X25-X36)^2),"")</f>
        <v/>
      </c>
      <c r="BB25" s="101">
        <f>IF(V25,W25,"")</f>
        <v>-25.0</v>
      </c>
      <c r="BC25" s="101">
        <f>IF(V25,X25,"")</f>
        <v>-10.0</v>
      </c>
      <c r="BN25" s="101">
        <f>IF(0=0,$W$144,IF(0&lt;=$W$170,$W$144+0*($W$145-$W$144)/($W$170+1),IF(0=$W$170+1,$W$145,0)))</f>
        <v>6.8</v>
      </c>
      <c r="BO25" s="101">
        <f>IF(0=0,$W$169*$W$152,IF(0&lt;=$W$170,2*$W$152,IF(0=$W$170+1,$W$169*$W$152,0)))</f>
        <v>12.0637157897848</v>
      </c>
      <c r="BP25" s="101">
        <f>-1*$W$43/2/$W$193</f>
        <v>-0.819672131147541</v>
      </c>
      <c r="BQ25" s="101">
        <f>-1*$W$44/2/$W$193</f>
        <v>-0.614754098360656</v>
      </c>
      <c r="BR25" s="101">
        <f>-1*'1-Base Plate'!$C$17/2/$W$193</f>
        <v>-0.614754098360656</v>
      </c>
      <c r="BS25" s="101">
        <f>-1*'1-Base Plate'!$C$18/2/$W$193</f>
        <v>-0.307377049180328</v>
      </c>
      <c r="BT25" s="101">
        <f>IF($W$51,-1*($W$43/2-($C$10+$F$10/20))/$W$193,NA())</f>
        <v>-0.706967213114754</v>
      </c>
      <c r="BU25" s="101">
        <f>IF($W$51,-1*($W$44/2-($C$10+$F$10/20))/$W$193,NA())</f>
        <v>-0.502049180327869</v>
      </c>
      <c r="BX25" s="101">
        <f>-($W$43/2+6)/$W$193</f>
        <v>-0.942622950819672</v>
      </c>
      <c r="BY25" t="n">
        <v>0</v>
      </c>
      <c r="CF25" t="n">
        <v>0</v>
      </c>
      <c r="CG25" s="101">
        <f>IF(CF25&lt;$W$171,IF(CF25&lt;$W$194,-$W$196/2+CF25*$W$196/($W$194-1),IF(CF25&lt;2*$W$194,-$W$196/2+(CF25-$W$194)*$W$196/($W$194-1),IF(CF25&lt;2*$W$194+$W$195-2,-$W$196/2,$W$196/2)))/$W$193,NA())</f>
        <v>-0.680327868852459</v>
      </c>
      <c r="CH25" s="101">
        <f>IF(CF25&lt;$W$171,IF(CF25&lt;$W$194,-$W$197/2,IF(CF25&lt;2*$W$194,$W$197/2,IF(CF25&lt;2*$W$194+$W$195-2,-$W$197/2+(CF25-2*$W$194+1)*$W$197/($W$195-1),-$W$197/2+(CF25-2*$W$194-($W$195-2)+1)*$W$197/($W$195-1))))/$W$193,NA())</f>
        <v>-0.475409836065574</v>
      </c>
      <c r="CI25" s="101">
        <f>IF(V25,W25/$W$193,NA())</f>
        <v>-0.512295081967213</v>
      </c>
      <c r="CJ25" s="101">
        <f>IF(V25,X25/$W$193,NA())</f>
        <v>-0.204918032786885</v>
      </c>
      <c r="CK25" s="101" t="str">
        <f>IF(Z25,TEXT(Y25,"0.00")&amp;" t"," ")</f>
        <v>4.45 t</v>
      </c>
      <c r="CL25" s="101">
        <f>($W$43/2+6)/$W$193</f>
        <v>0.942622950819672</v>
      </c>
      <c r="CM25" t="n">
        <v>0</v>
      </c>
      <c r="CN25" t="inlineStr">
        <is>
          <t>X</t>
        </is>
      </c>
    </row>
    <row r="26">
      <c r="V26" s="101" t="b">
        <f>'1-Base Plate'!V38</f>
        <v>1</v>
      </c>
      <c r="W26" s="101">
        <f>'1-Base Plate'!W38</f>
        <v>25.0</v>
      </c>
      <c r="X26" s="101">
        <f>'1-Base Plate'!X38</f>
        <v>-10.0</v>
      </c>
      <c r="Y26" s="101">
        <f>'1-Base Plate'!AU38</f>
        <v>0.0</v>
      </c>
      <c r="Z26" s="101" t="b">
        <f>AND(V26,Y26&gt;0.0001)</f>
        <v>0</v>
      </c>
      <c r="AA26" s="101">
        <f>IF(Z26,W26,"")</f>
        <v/>
      </c>
      <c r="AB26" s="101">
        <f>IF(Z26,X26,"")</f>
        <v/>
      </c>
      <c r="AC26" s="101">
        <f>IF(Z26,Y26*W26,0)</f>
        <v>0.0</v>
      </c>
      <c r="AD26" s="101">
        <f>IF(Z26,Y26*X26,0)</f>
        <v>0.0</v>
      </c>
      <c r="AE26" s="101">
        <f>$W$43/2-ABS(W26)</f>
        <v>15.0</v>
      </c>
      <c r="AF26" s="101">
        <f>$W$44/2-ABS(X26)</f>
        <v>20.0</v>
      </c>
      <c r="AG26" s="101">
        <f>IF(Z26,MIN(AE26,AF26),"")</f>
        <v/>
      </c>
      <c r="AH26" s="101">
        <f>IF(Z26,MAX(AE26,AF26),"")</f>
        <v/>
      </c>
      <c r="AI26" s="101" t="b">
        <f>IF(Z26,$W$47&gt;2.5*AG26,FALSE)</f>
        <v>0</v>
      </c>
      <c r="AJ26" s="101">
        <f>IF(AI26,13*AG26*10*SQRT($W$49*100)*SQRT($W$46)/1000*IF(AH26&lt;3*AG26,(1+AH26/AG26)/4,1),"")</f>
        <v/>
      </c>
      <c r="AK26" s="101">
        <f>IF(AI26,$W$52*AJ26/$W$53,"")</f>
        <v/>
      </c>
      <c r="AL26" s="101">
        <f>IF(AI26,Y26*9.81/AK26,"")</f>
        <v/>
      </c>
      <c r="AM26" s="101">
        <f>IF(Z26,SIGN(IF($W$42,W26,X26)),0)</f>
        <v>0.0</v>
      </c>
      <c r="AN26" s="101">
        <f>'1-Base Plate'!AC38</f>
        <v>0.75</v>
      </c>
      <c r="AO26" s="101">
        <f>'1-Base Plate'!AD38</f>
        <v>0.25</v>
      </c>
      <c r="AR26" s="101">
        <f>IF(AND(Z26,Z27),SQRT((W26-W27)^2+(X26-X27)^2),"")</f>
        <v/>
      </c>
      <c r="AS26" s="101">
        <f>IF(AND(Z26,Z28),SQRT((W26-W28)^2+(X26-X28)^2),"")</f>
        <v/>
      </c>
      <c r="AT26" s="101">
        <f>IF(AND(Z26,Z29),SQRT((W26-W29)^2+(X26-X29)^2),"")</f>
        <v/>
      </c>
      <c r="AU26" s="101">
        <f>IF(AND(Z26,Z30),SQRT((W26-W30)^2+(X26-X30)^2),"")</f>
        <v/>
      </c>
      <c r="AV26" s="101">
        <f>IF(AND(Z26,Z31),SQRT((W26-W31)^2+(X26-X31)^2),"")</f>
        <v/>
      </c>
      <c r="AW26" s="101">
        <f>IF(AND(Z26,Z32),SQRT((W26-W32)^2+(X26-X32)^2),"")</f>
        <v/>
      </c>
      <c r="AX26" s="101">
        <f>IF(AND(Z26,Z33),SQRT((W26-W33)^2+(X26-X33)^2),"")</f>
        <v/>
      </c>
      <c r="AY26" s="101">
        <f>IF(AND(Z26,Z34),SQRT((W26-W34)^2+(X26-X34)^2),"")</f>
        <v/>
      </c>
      <c r="AZ26" s="101">
        <f>IF(AND(Z26,Z35),SQRT((W26-W35)^2+(X26-X35)^2),"")</f>
        <v/>
      </c>
      <c r="BA26" s="101">
        <f>IF(AND(Z26,Z36),SQRT((W26-W36)^2+(X26-X36)^2),"")</f>
        <v/>
      </c>
      <c r="BB26" s="101">
        <f>IF(V26,W26,"")</f>
        <v>25.0</v>
      </c>
      <c r="BC26" s="101">
        <f>IF(V26,X26,"")</f>
        <v>-10.0</v>
      </c>
      <c r="BN26" s="101">
        <f>IF(1=0,$W$144,IF(1&lt;=$W$170,$W$144+1*($W$145-$W$144)/($W$170+1),IF(1=$W$170+1,$W$145,0)))</f>
        <v>20.08</v>
      </c>
      <c r="BO26" s="101">
        <f>IF(1=0,$W$169*$W$152,IF(1&lt;=$W$170,2*$W$152,IF(1=$W$170+1,$W$169*$W$152,0)))</f>
        <v>4.02123859659494</v>
      </c>
      <c r="BP26" s="101">
        <f>1*$W$43/2/$W$193</f>
        <v>0.819672131147541</v>
      </c>
      <c r="BQ26" s="101">
        <f>-1*$W$44/2/$W$193</f>
        <v>-0.614754098360656</v>
      </c>
      <c r="BR26" s="101">
        <f>1*'1-Base Plate'!$C$17/2/$W$193</f>
        <v>0.614754098360656</v>
      </c>
      <c r="BS26" s="101">
        <f>-1*'1-Base Plate'!$C$18/2/$W$193</f>
        <v>-0.307377049180328</v>
      </c>
      <c r="BT26" s="101">
        <f>IF($W$51,1*($W$43/2-($C$10+$F$10/20))/$W$193,NA())</f>
        <v>0.706967213114754</v>
      </c>
      <c r="BU26" s="101">
        <f>IF($W$51,-1*($W$44/2-($C$10+$F$10/20))/$W$193,NA())</f>
        <v>-0.502049180327869</v>
      </c>
      <c r="BX26" s="101">
        <f>($W$43/2+6)/$W$193</f>
        <v>0.942622950819672</v>
      </c>
      <c r="BY26" t="n">
        <v>0</v>
      </c>
      <c r="CF26" t="n">
        <v>1</v>
      </c>
      <c r="CG26" s="101">
        <f>IF(CF26&lt;$W$171,IF(CF26&lt;$W$194,-$W$196/2+CF26*$W$196/($W$194-1),IF(CF26&lt;2*$W$194,-$W$196/2+(CF26-$W$194)*$W$196/($W$194-1),IF(CF26&lt;2*$W$194+$W$195-2,-$W$196/2,$W$196/2)))/$W$193,NA())</f>
        <v>-0.408196721311475</v>
      </c>
      <c r="CH26" s="101">
        <f>IF(CF26&lt;$W$171,IF(CF26&lt;$W$194,-$W$197/2,IF(CF26&lt;2*$W$194,$W$197/2,IF(CF26&lt;2*$W$194+$W$195-2,-$W$197/2+(CF26-2*$W$194+1)*$W$197/($W$195-1),-$W$197/2+(CF26-2*$W$194-($W$195-2)+1)*$W$197/($W$195-1))))/$W$193,NA())</f>
        <v>-0.475409836065574</v>
      </c>
      <c r="CI26" s="101">
        <f>IF(V26,W26/$W$193,NA())</f>
        <v>0.512295081967213</v>
      </c>
      <c r="CJ26" s="101">
        <f>IF(V26,X26/$W$193,NA())</f>
        <v>-0.204918032786885</v>
      </c>
      <c r="CK26" s="101" t="str">
        <f>IF(Z26,TEXT(Y26,"0.00")&amp;" t"," ")</f>
        <v> </v>
      </c>
      <c r="CL26" t="n">
        <v>0</v>
      </c>
      <c r="CM26" s="101">
        <f>($W$44/2+6)/$W$193</f>
        <v>0.737704918032787</v>
      </c>
      <c r="CN26" t="inlineStr">
        <is>
          <t>Y</t>
        </is>
      </c>
    </row>
    <row r="27">
      <c r="V27" s="101" t="b">
        <f>'1-Base Plate'!V39</f>
        <v>1</v>
      </c>
      <c r="W27" s="101">
        <f>'1-Base Plate'!W39</f>
        <v>25.0</v>
      </c>
      <c r="X27" s="101">
        <f>'1-Base Plate'!X39</f>
        <v>10.0</v>
      </c>
      <c r="Y27" s="101">
        <f>'1-Base Plate'!AU39</f>
        <v>0.0</v>
      </c>
      <c r="Z27" s="101" t="b">
        <f>AND(V27,Y27&gt;0.0001)</f>
        <v>0</v>
      </c>
      <c r="AA27" s="101">
        <f>IF(Z27,W27,"")</f>
        <v/>
      </c>
      <c r="AB27" s="101">
        <f>IF(Z27,X27,"")</f>
        <v/>
      </c>
      <c r="AC27" s="101">
        <f>IF(Z27,Y27*W27,0)</f>
        <v>0.0</v>
      </c>
      <c r="AD27" s="101">
        <f>IF(Z27,Y27*X27,0)</f>
        <v>0.0</v>
      </c>
      <c r="AE27" s="101">
        <f>$W$43/2-ABS(W27)</f>
        <v>15.0</v>
      </c>
      <c r="AF27" s="101">
        <f>$W$44/2-ABS(X27)</f>
        <v>20.0</v>
      </c>
      <c r="AG27" s="101">
        <f>IF(Z27,MIN(AE27,AF27),"")</f>
        <v/>
      </c>
      <c r="AH27" s="101">
        <f>IF(Z27,MAX(AE27,AF27),"")</f>
        <v/>
      </c>
      <c r="AI27" s="101" t="b">
        <f>IF(Z27,$W$47&gt;2.5*AG27,FALSE)</f>
        <v>0</v>
      </c>
      <c r="AJ27" s="101">
        <f>IF(AI27,13*AG27*10*SQRT($W$49*100)*SQRT($W$46)/1000*IF(AH27&lt;3*AG27,(1+AH27/AG27)/4,1),"")</f>
        <v/>
      </c>
      <c r="AK27" s="101">
        <f>IF(AI27,$W$52*AJ27/$W$53,"")</f>
        <v/>
      </c>
      <c r="AL27" s="101">
        <f>IF(AI27,Y27*9.81/AK27,"")</f>
        <v/>
      </c>
      <c r="AM27" s="101">
        <f>IF(Z27,SIGN(IF($W$42,W27,X27)),0)</f>
        <v>0.0</v>
      </c>
      <c r="AN27" s="101">
        <f>'1-Base Plate'!AC39</f>
        <v>0.75</v>
      </c>
      <c r="AO27" s="101">
        <f>'1-Base Plate'!AD39</f>
        <v>0.25</v>
      </c>
      <c r="AS27" s="101">
        <f>IF(AND(Z27,Z28),SQRT((W27-W28)^2+(X27-X28)^2),"")</f>
        <v/>
      </c>
      <c r="AT27" s="101">
        <f>IF(AND(Z27,Z29),SQRT((W27-W29)^2+(X27-X29)^2),"")</f>
        <v/>
      </c>
      <c r="AU27" s="101">
        <f>IF(AND(Z27,Z30),SQRT((W27-W30)^2+(X27-X30)^2),"")</f>
        <v/>
      </c>
      <c r="AV27" s="101">
        <f>IF(AND(Z27,Z31),SQRT((W27-W31)^2+(X27-X31)^2),"")</f>
        <v/>
      </c>
      <c r="AW27" s="101">
        <f>IF(AND(Z27,Z32),SQRT((W27-W32)^2+(X27-X32)^2),"")</f>
        <v/>
      </c>
      <c r="AX27" s="101">
        <f>IF(AND(Z27,Z33),SQRT((W27-W33)^2+(X27-X33)^2),"")</f>
        <v/>
      </c>
      <c r="AY27" s="101">
        <f>IF(AND(Z27,Z34),SQRT((W27-W34)^2+(X27-X34)^2),"")</f>
        <v/>
      </c>
      <c r="AZ27" s="101">
        <f>IF(AND(Z27,Z35),SQRT((W27-W35)^2+(X27-X35)^2),"")</f>
        <v/>
      </c>
      <c r="BA27" s="101">
        <f>IF(AND(Z27,Z36),SQRT((W27-W36)^2+(X27-X36)^2),"")</f>
        <v/>
      </c>
      <c r="BB27" s="101">
        <f>IF(V27,W27,"")</f>
        <v>25.0</v>
      </c>
      <c r="BC27" s="101">
        <f>IF(V27,X27,"")</f>
        <v>10.0</v>
      </c>
      <c r="BN27" s="101">
        <f>IF(2=0,$W$144,IF(2&lt;=$W$170,$W$144+2*($W$145-$W$144)/($W$170+1),IF(2=$W$170+1,$W$145,0)))</f>
        <v>33.36</v>
      </c>
      <c r="BO27" s="101">
        <f>IF(2=0,$W$169*$W$152,IF(2&lt;=$W$170,2*$W$152,IF(2=$W$170+1,$W$169*$W$152,0)))</f>
        <v>4.02123859659494</v>
      </c>
      <c r="BP27" s="101">
        <f>1*$W$43/2/$W$193</f>
        <v>0.819672131147541</v>
      </c>
      <c r="BQ27" s="101">
        <f>1*$W$44/2/$W$193</f>
        <v>0.614754098360656</v>
      </c>
      <c r="BR27" s="101">
        <f>1*'1-Base Plate'!$C$17/2/$W$193</f>
        <v>0.614754098360656</v>
      </c>
      <c r="BS27" s="101">
        <f>1*'1-Base Plate'!$C$18/2/$W$193</f>
        <v>0.307377049180328</v>
      </c>
      <c r="BT27" s="101">
        <f>IF($W$51,1*($W$43/2-($C$10+$F$10/20))/$W$193,NA())</f>
        <v>0.706967213114754</v>
      </c>
      <c r="BU27" s="101">
        <f>IF($W$51,1*($W$44/2-($C$10+$F$10/20))/$W$193,NA())</f>
        <v>0.502049180327869</v>
      </c>
      <c r="BX27" t="n">
        <v>0</v>
      </c>
      <c r="BY27" s="101">
        <f>-($W$44/2+6)/$W$193</f>
        <v>-0.737704918032787</v>
      </c>
      <c r="CF27" t="n">
        <v>2</v>
      </c>
      <c r="CG27" s="101">
        <f>IF(CF27&lt;$W$171,IF(CF27&lt;$W$194,-$W$196/2+CF27*$W$196/($W$194-1),IF(CF27&lt;2*$W$194,-$W$196/2+(CF27-$W$194)*$W$196/($W$194-1),IF(CF27&lt;2*$W$194+$W$195-2,-$W$196/2,$W$196/2)))/$W$193,NA())</f>
        <v>-0.136065573770492</v>
      </c>
      <c r="CH27" s="101">
        <f>IF(CF27&lt;$W$171,IF(CF27&lt;$W$194,-$W$197/2,IF(CF27&lt;2*$W$194,$W$197/2,IF(CF27&lt;2*$W$194+$W$195-2,-$W$197/2+(CF27-2*$W$194+1)*$W$197/($W$195-1),-$W$197/2+(CF27-2*$W$194-($W$195-2)+1)*$W$197/($W$195-1))))/$W$193,NA())</f>
        <v>-0.475409836065574</v>
      </c>
      <c r="CI27" s="101">
        <f>IF(V27,W27/$W$193,NA())</f>
        <v>0.512295081967213</v>
      </c>
      <c r="CJ27" s="101">
        <f>IF(V27,X27/$W$193,NA())</f>
        <v>0.204918032786885</v>
      </c>
      <c r="CK27" s="101" t="str">
        <f>IF(Z27,TEXT(Y27,"0.00")&amp;" t"," ")</f>
        <v> </v>
      </c>
      <c r="CL27" t="n">
        <v>0</v>
      </c>
      <c r="CM27" s="101">
        <f>-($W$44/2+2)/$W$193</f>
        <v>-0.655737704918033</v>
      </c>
      <c r="CN27" s="101" t="str">
        <f>"Bx = "&amp;$W$43&amp;" cm"</f>
        <v>Bx = 80 cm</v>
      </c>
    </row>
    <row r="28">
      <c r="V28" s="101" t="b">
        <f>'1-Base Plate'!V40</f>
        <v>1</v>
      </c>
      <c r="W28" s="101">
        <f>'1-Base Plate'!W40</f>
        <v>-25.0</v>
      </c>
      <c r="X28" s="101">
        <f>'1-Base Plate'!X40</f>
        <v>10.0</v>
      </c>
      <c r="Y28" s="101">
        <f>'1-Base Plate'!AU40</f>
        <v>4.44976801647886</v>
      </c>
      <c r="Z28" s="101" t="b">
        <f>AND(V28,Y28&gt;0.0001)</f>
        <v>1</v>
      </c>
      <c r="AA28" s="101">
        <f>IF(Z28,W28,"")</f>
        <v>-25.0</v>
      </c>
      <c r="AB28" s="101">
        <f>IF(Z28,X28,"")</f>
        <v>10.0</v>
      </c>
      <c r="AC28" s="101">
        <f>IF(Z28,Y28*W28,0)</f>
        <v>-111.244200411972</v>
      </c>
      <c r="AD28" s="101">
        <f>IF(Z28,Y28*X28,0)</f>
        <v>44.4976801647886</v>
      </c>
      <c r="AE28" s="101">
        <f>$W$43/2-ABS(W28)</f>
        <v>15.0</v>
      </c>
      <c r="AF28" s="101">
        <f>$W$44/2-ABS(X28)</f>
        <v>20.0</v>
      </c>
      <c r="AG28" s="101">
        <f>IF(Z28,MIN(AE28,AF28),"")</f>
        <v>15.0</v>
      </c>
      <c r="AH28" s="101">
        <f>IF(Z28,MAX(AE28,AF28),"")</f>
        <v>20.0</v>
      </c>
      <c r="AI28" s="101" t="b">
        <f>IF(Z28,$W$47&gt;2.5*AG28,FALSE)</f>
        <v>1</v>
      </c>
      <c r="AJ28" s="101">
        <f>IF(AI28,13*AG28*10*SQRT($W$49*100)*SQRT($W$46)/1000*IF(AH28&lt;3*AG28,(1+AH28/AG28)/4,1),"")</f>
        <v>331.049245728612</v>
      </c>
      <c r="AK28" s="101">
        <f>IF(AI28,$W$52*AJ28/$W$53,"")</f>
        <v>165.524622864306</v>
      </c>
      <c r="AL28" s="101">
        <f>IF(AI28,Y28*9.81/AK28,"")</f>
        <v>0.263720427126077</v>
      </c>
      <c r="AM28" s="101">
        <f>IF(Z28,SIGN(IF($W$42,W28,X28)),0)</f>
        <v>-1.0</v>
      </c>
      <c r="AN28" s="101">
        <f>'1-Base Plate'!AC40</f>
        <v>0.75</v>
      </c>
      <c r="AO28" s="101">
        <f>'1-Base Plate'!AD40</f>
        <v>0.25</v>
      </c>
      <c r="AT28" s="101">
        <f>IF(AND(Z28,Z29),SQRT((W28-W29)^2+(X28-X29)^2),"")</f>
        <v/>
      </c>
      <c r="AU28" s="101">
        <f>IF(AND(Z28,Z30),SQRT((W28-W30)^2+(X28-X30)^2),"")</f>
        <v/>
      </c>
      <c r="AV28" s="101">
        <f>IF(AND(Z28,Z31),SQRT((W28-W31)^2+(X28-X31)^2),"")</f>
        <v/>
      </c>
      <c r="AW28" s="101">
        <f>IF(AND(Z28,Z32),SQRT((W28-W32)^2+(X28-X32)^2),"")</f>
        <v/>
      </c>
      <c r="AX28" s="101">
        <f>IF(AND(Z28,Z33),SQRT((W28-W33)^2+(X28-X33)^2),"")</f>
        <v/>
      </c>
      <c r="AY28" s="101">
        <f>IF(AND(Z28,Z34),SQRT((W28-W34)^2+(X28-X34)^2),"")</f>
        <v/>
      </c>
      <c r="AZ28" s="101">
        <f>IF(AND(Z28,Z35),SQRT((W28-W35)^2+(X28-X35)^2),"")</f>
        <v/>
      </c>
      <c r="BA28" s="101">
        <f>IF(AND(Z28,Z36),SQRT((W28-W36)^2+(X28-X36)^2),"")</f>
        <v/>
      </c>
      <c r="BB28" s="101">
        <f>IF(V28,W28,"")</f>
        <v>-25.0</v>
      </c>
      <c r="BC28" s="101">
        <f>IF(V28,X28,"")</f>
        <v>10.0</v>
      </c>
      <c r="BN28" s="101">
        <f>IF(3=0,$W$144,IF(3&lt;=$W$170,$W$144+3*($W$145-$W$144)/($W$170+1),IF(3=$W$170+1,$W$145,0)))</f>
        <v>46.64</v>
      </c>
      <c r="BO28" s="101">
        <f>IF(3=0,$W$169*$W$152,IF(3&lt;=$W$170,2*$W$152,IF(3=$W$170+1,$W$169*$W$152,0)))</f>
        <v>4.02123859659494</v>
      </c>
      <c r="BP28" s="101">
        <f>-1*$W$43/2/$W$193</f>
        <v>-0.819672131147541</v>
      </c>
      <c r="BQ28" s="101">
        <f>1*$W$44/2/$W$193</f>
        <v>0.614754098360656</v>
      </c>
      <c r="BR28" s="101">
        <f>-1*'1-Base Plate'!$C$17/2/$W$193</f>
        <v>-0.614754098360656</v>
      </c>
      <c r="BS28" s="101">
        <f>1*'1-Base Plate'!$C$18/2/$W$193</f>
        <v>0.307377049180328</v>
      </c>
      <c r="BT28" s="101">
        <f>IF($W$51,-1*($W$43/2-($C$10+$F$10/20))/$W$193,NA())</f>
        <v>-0.706967213114754</v>
      </c>
      <c r="BU28" s="101">
        <f>IF($W$51,1*($W$44/2-($C$10+$F$10/20))/$W$193,NA())</f>
        <v>0.502049180327869</v>
      </c>
      <c r="BX28" t="n">
        <v>0</v>
      </c>
      <c r="BY28" s="101">
        <f>($W$44/2+6)/$W$193</f>
        <v>0.737704918032787</v>
      </c>
      <c r="CF28" t="n">
        <v>3</v>
      </c>
      <c r="CG28" s="101">
        <f>IF(CF28&lt;$W$171,IF(CF28&lt;$W$194,-$W$196/2+CF28*$W$196/($W$194-1),IF(CF28&lt;2*$W$194,-$W$196/2+(CF28-$W$194)*$W$196/($W$194-1),IF(CF28&lt;2*$W$194+$W$195-2,-$W$196/2,$W$196/2)))/$W$193,NA())</f>
        <v>0.136065573770492</v>
      </c>
      <c r="CH28" s="101">
        <f>IF(CF28&lt;$W$171,IF(CF28&lt;$W$194,-$W$197/2,IF(CF28&lt;2*$W$194,$W$197/2,IF(CF28&lt;2*$W$194+$W$195-2,-$W$197/2+(CF28-2*$W$194+1)*$W$197/($W$195-1),-$W$197/2+(CF28-2*$W$194-($W$195-2)+1)*$W$197/($W$195-1))))/$W$193,NA())</f>
        <v>-0.475409836065574</v>
      </c>
      <c r="CI28" s="101">
        <f>IF(V28,W28/$W$193,NA())</f>
        <v>-0.512295081967213</v>
      </c>
      <c r="CJ28" s="101">
        <f>IF(V28,X28/$W$193,NA())</f>
        <v>0.204918032786885</v>
      </c>
      <c r="CK28" s="101" t="str">
        <f>IF(Z28,TEXT(Y28,"0.00")&amp;" t"," ")</f>
        <v>4.45 t</v>
      </c>
      <c r="CL28" s="101">
        <f>-($W$43/2+1)/$W$193</f>
        <v>-0.84016393442623</v>
      </c>
      <c r="CM28" t="n">
        <v>0</v>
      </c>
      <c r="CN28" s="101" t="str">
        <f>"By = "&amp;$W$44&amp;" cm"</f>
        <v>By = 60 cm</v>
      </c>
    </row>
    <row r="29">
      <c r="V29" s="101" t="b">
        <f>'1-Base Plate'!V41</f>
        <v>0</v>
      </c>
      <c r="W29" s="101">
        <f>'1-Base Plate'!W41</f>
        <v>0.0</v>
      </c>
      <c r="X29" s="101">
        <f>'1-Base Plate'!X41</f>
        <v>0.0</v>
      </c>
      <c r="Y29" s="101">
        <f>'1-Base Plate'!AU41</f>
        <v>0.0</v>
      </c>
      <c r="Z29" s="101" t="b">
        <f>AND(V29,Y29&gt;0.0001)</f>
        <v>0</v>
      </c>
      <c r="AA29" s="101">
        <f>IF(Z29,W29,"")</f>
        <v/>
      </c>
      <c r="AB29" s="101">
        <f>IF(Z29,X29,"")</f>
        <v/>
      </c>
      <c r="AC29" s="101">
        <f>IF(Z29,Y29*W29,0)</f>
        <v>0.0</v>
      </c>
      <c r="AD29" s="101">
        <f>IF(Z29,Y29*X29,0)</f>
        <v>0.0</v>
      </c>
      <c r="AE29" s="101">
        <f>$W$43/2-ABS(W29)</f>
        <v>40.0</v>
      </c>
      <c r="AF29" s="101">
        <f>$W$44/2-ABS(X29)</f>
        <v>30.0</v>
      </c>
      <c r="AG29" s="101">
        <f>IF(Z29,MIN(AE29,AF29),"")</f>
        <v/>
      </c>
      <c r="AH29" s="101">
        <f>IF(Z29,MAX(AE29,AF29),"")</f>
        <v/>
      </c>
      <c r="AI29" s="101" t="b">
        <f>IF(Z29,$W$47&gt;2.5*AG29,FALSE)</f>
        <v>0</v>
      </c>
      <c r="AJ29" s="101">
        <f>IF(AI29,13*AG29*10*SQRT($W$49*100)*SQRT($W$46)/1000*IF(AH29&lt;3*AG29,(1+AH29/AG29)/4,1),"")</f>
        <v/>
      </c>
      <c r="AK29" s="101">
        <f>IF(AI29,$W$52*AJ29/$W$53,"")</f>
        <v/>
      </c>
      <c r="AL29" s="101">
        <f>IF(AI29,Y29*9.81/AK29,"")</f>
        <v/>
      </c>
      <c r="AM29" s="101">
        <f>IF(Z29,SIGN(IF($W$42,W29,X29)),0)</f>
        <v>0.0</v>
      </c>
      <c r="AN29" s="101">
        <f>'1-Base Plate'!AC41</f>
        <v>0.0</v>
      </c>
      <c r="AO29" s="101">
        <f>'1-Base Plate'!AD41</f>
        <v>0.0</v>
      </c>
      <c r="AU29" s="101">
        <f>IF(AND(Z29,Z30),SQRT((W29-W30)^2+(X29-X30)^2),"")</f>
        <v/>
      </c>
      <c r="AV29" s="101">
        <f>IF(AND(Z29,Z31),SQRT((W29-W31)^2+(X29-X31)^2),"")</f>
        <v/>
      </c>
      <c r="AW29" s="101">
        <f>IF(AND(Z29,Z32),SQRT((W29-W32)^2+(X29-X32)^2),"")</f>
        <v/>
      </c>
      <c r="AX29" s="101">
        <f>IF(AND(Z29,Z33),SQRT((W29-W33)^2+(X29-X33)^2),"")</f>
        <v/>
      </c>
      <c r="AY29" s="101">
        <f>IF(AND(Z29,Z34),SQRT((W29-W34)^2+(X29-X34)^2),"")</f>
        <v/>
      </c>
      <c r="AZ29" s="101">
        <f>IF(AND(Z29,Z35),SQRT((W29-W35)^2+(X29-X35)^2),"")</f>
        <v/>
      </c>
      <c r="BA29" s="101">
        <f>IF(AND(Z29,Z36),SQRT((W29-W36)^2+(X29-X36)^2),"")</f>
        <v/>
      </c>
      <c r="BB29" s="101">
        <f>IF(V29,W29,"")</f>
        <v/>
      </c>
      <c r="BC29" s="101">
        <f>IF(V29,X29,"")</f>
        <v/>
      </c>
      <c r="BN29" s="101">
        <f>IF(4=0,$W$144,IF(4&lt;=$W$170,$W$144+4*($W$145-$W$144)/($W$170+1),IF(4=$W$170+1,$W$145,0)))</f>
        <v>59.92</v>
      </c>
      <c r="BO29" s="101">
        <f>IF(4=0,$W$169*$W$152,IF(4&lt;=$W$170,2*$W$152,IF(4=$W$170+1,$W$169*$W$152,0)))</f>
        <v>4.02123859659494</v>
      </c>
      <c r="BP29" s="101">
        <f>-1*$W$43/2/$W$193</f>
        <v>-0.819672131147541</v>
      </c>
      <c r="BQ29" s="101">
        <f>-1*$W$44/2/$W$193</f>
        <v>-0.614754098360656</v>
      </c>
      <c r="BR29" s="101">
        <f>-1*'1-Base Plate'!$C$17/2/$W$193</f>
        <v>-0.614754098360656</v>
      </c>
      <c r="BS29" s="101">
        <f>-1*'1-Base Plate'!$C$18/2/$W$193</f>
        <v>-0.307377049180328</v>
      </c>
      <c r="BT29" s="101">
        <f>IF($W$51,-1*($W$43/2-($C$10+$F$10/20))/$W$193,NA())</f>
        <v>-0.706967213114754</v>
      </c>
      <c r="BU29" s="101">
        <f>IF($W$51,-1*($W$44/2-($C$10+$F$10/20))/$W$193,NA())</f>
        <v>-0.502049180327869</v>
      </c>
      <c r="CF29" t="n">
        <v>4</v>
      </c>
      <c r="CG29" s="101">
        <f>IF(CF29&lt;$W$171,IF(CF29&lt;$W$194,-$W$196/2+CF29*$W$196/($W$194-1),IF(CF29&lt;2*$W$194,-$W$196/2+(CF29-$W$194)*$W$196/($W$194-1),IF(CF29&lt;2*$W$194+$W$195-2,-$W$196/2,$W$196/2)))/$W$193,NA())</f>
        <v>0.408196721311475</v>
      </c>
      <c r="CH29" s="101">
        <f>IF(CF29&lt;$W$171,IF(CF29&lt;$W$194,-$W$197/2,IF(CF29&lt;2*$W$194,$W$197/2,IF(CF29&lt;2*$W$194+$W$195-2,-$W$197/2+(CF29-2*$W$194+1)*$W$197/($W$195-1),-$W$197/2+(CF29-2*$W$194-($W$195-2)+1)*$W$197/($W$195-1))))/$W$193,NA())</f>
        <v>-0.475409836065574</v>
      </c>
      <c r="CI29" s="101" t="e">
        <f>IF(V29,W29/$W$193,NA())</f>
        <v>#N/A</v>
      </c>
      <c r="CJ29" s="101" t="e">
        <f>IF(V29,X29/$W$193,NA())</f>
        <v>#N/A</v>
      </c>
      <c r="CK29" s="101" t="str">
        <f>IF(Z29,TEXT(Y29,"0.00")&amp;" t"," ")</f>
        <v> </v>
      </c>
    </row>
    <row r="30">
      <c r="V30" s="101" t="b">
        <f>'1-Base Plate'!V42</f>
        <v>0</v>
      </c>
      <c r="W30" s="101">
        <f>'1-Base Plate'!W42</f>
        <v>0.0</v>
      </c>
      <c r="X30" s="101">
        <f>'1-Base Plate'!X42</f>
        <v>0.0</v>
      </c>
      <c r="Y30" s="101">
        <f>'1-Base Plate'!AU42</f>
        <v>0.0</v>
      </c>
      <c r="Z30" s="101" t="b">
        <f>AND(V30,Y30&gt;0.0001)</f>
        <v>0</v>
      </c>
      <c r="AA30" s="101">
        <f>IF(Z30,W30,"")</f>
        <v/>
      </c>
      <c r="AB30" s="101">
        <f>IF(Z30,X30,"")</f>
        <v/>
      </c>
      <c r="AC30" s="101">
        <f>IF(Z30,Y30*W30,0)</f>
        <v>0.0</v>
      </c>
      <c r="AD30" s="101">
        <f>IF(Z30,Y30*X30,0)</f>
        <v>0.0</v>
      </c>
      <c r="AE30" s="101">
        <f>$W$43/2-ABS(W30)</f>
        <v>40.0</v>
      </c>
      <c r="AF30" s="101">
        <f>$W$44/2-ABS(X30)</f>
        <v>30.0</v>
      </c>
      <c r="AG30" s="101">
        <f>IF(Z30,MIN(AE30,AF30),"")</f>
        <v/>
      </c>
      <c r="AH30" s="101">
        <f>IF(Z30,MAX(AE30,AF30),"")</f>
        <v/>
      </c>
      <c r="AI30" s="101" t="b">
        <f>IF(Z30,$W$47&gt;2.5*AG30,FALSE)</f>
        <v>0</v>
      </c>
      <c r="AJ30" s="101">
        <f>IF(AI30,13*AG30*10*SQRT($W$49*100)*SQRT($W$46)/1000*IF(AH30&lt;3*AG30,(1+AH30/AG30)/4,1),"")</f>
        <v/>
      </c>
      <c r="AK30" s="101">
        <f>IF(AI30,$W$52*AJ30/$W$53,"")</f>
        <v/>
      </c>
      <c r="AL30" s="101">
        <f>IF(AI30,Y30*9.81/AK30,"")</f>
        <v/>
      </c>
      <c r="AM30" s="101">
        <f>IF(Z30,SIGN(IF($W$42,W30,X30)),0)</f>
        <v>0.0</v>
      </c>
      <c r="AN30" s="101">
        <f>'1-Base Plate'!AC42</f>
        <v>0.0</v>
      </c>
      <c r="AO30" s="101">
        <f>'1-Base Plate'!AD42</f>
        <v>0.0</v>
      </c>
      <c r="AV30" s="101">
        <f>IF(AND(Z30,Z31),SQRT((W30-W31)^2+(X30-X31)^2),"")</f>
        <v/>
      </c>
      <c r="AW30" s="101">
        <f>IF(AND(Z30,Z32),SQRT((W30-W32)^2+(X30-X32)^2),"")</f>
        <v/>
      </c>
      <c r="AX30" s="101">
        <f>IF(AND(Z30,Z33),SQRT((W30-W33)^2+(X30-X33)^2),"")</f>
        <v/>
      </c>
      <c r="AY30" s="101">
        <f>IF(AND(Z30,Z34),SQRT((W30-W34)^2+(X30-X34)^2),"")</f>
        <v/>
      </c>
      <c r="AZ30" s="101">
        <f>IF(AND(Z30,Z35),SQRT((W30-W35)^2+(X30-X35)^2),"")</f>
        <v/>
      </c>
      <c r="BA30" s="101">
        <f>IF(AND(Z30,Z36),SQRT((W30-W36)^2+(X30-X36)^2),"")</f>
        <v/>
      </c>
      <c r="BB30" s="101">
        <f>IF(V30,W30,"")</f>
        <v/>
      </c>
      <c r="BC30" s="101">
        <f>IF(V30,X30,"")</f>
        <v/>
      </c>
      <c r="BN30" s="101">
        <f>IF(5=0,$W$144,IF(5&lt;=$W$170,$W$144+5*($W$145-$W$144)/($W$170+1),IF(5=$W$170+1,$W$145,0)))</f>
        <v>73.2</v>
      </c>
      <c r="BO30" s="101">
        <f>IF(5=0,$W$169*$W$152,IF(5&lt;=$W$170,2*$W$152,IF(5=$W$170+1,$W$169*$W$152,0)))</f>
        <v>12.0637157897848</v>
      </c>
      <c r="CF30" t="n">
        <v>5</v>
      </c>
      <c r="CG30" s="101">
        <f>IF(CF30&lt;$W$171,IF(CF30&lt;$W$194,-$W$196/2+CF30*$W$196/($W$194-1),IF(CF30&lt;2*$W$194,-$W$196/2+(CF30-$W$194)*$W$196/($W$194-1),IF(CF30&lt;2*$W$194+$W$195-2,-$W$196/2,$W$196/2)))/$W$193,NA())</f>
        <v>0.680327868852459</v>
      </c>
      <c r="CH30" s="101">
        <f>IF(CF30&lt;$W$171,IF(CF30&lt;$W$194,-$W$197/2,IF(CF30&lt;2*$W$194,$W$197/2,IF(CF30&lt;2*$W$194+$W$195-2,-$W$197/2+(CF30-2*$W$194+1)*$W$197/($W$195-1),-$W$197/2+(CF30-2*$W$194-($W$195-2)+1)*$W$197/($W$195-1))))/$W$193,NA())</f>
        <v>-0.475409836065574</v>
      </c>
      <c r="CI30" s="101" t="e">
        <f>IF(V30,W30/$W$193,NA())</f>
        <v>#N/A</v>
      </c>
      <c r="CJ30" s="101" t="e">
        <f>IF(V30,X30/$W$193,NA())</f>
        <v>#N/A</v>
      </c>
      <c r="CK30" s="101" t="str">
        <f>IF(Z30,TEXT(Y30,"0.00")&amp;" t"," ")</f>
        <v> </v>
      </c>
    </row>
    <row r="31">
      <c r="V31" s="101" t="b">
        <f>'1-Base Plate'!V43</f>
        <v>0</v>
      </c>
      <c r="W31" s="101">
        <f>'1-Base Plate'!W43</f>
        <v>0.0</v>
      </c>
      <c r="X31" s="101">
        <f>'1-Base Plate'!X43</f>
        <v>0.0</v>
      </c>
      <c r="Y31" s="101">
        <f>'1-Base Plate'!AU43</f>
        <v>0.0</v>
      </c>
      <c r="Z31" s="101" t="b">
        <f>AND(V31,Y31&gt;0.0001)</f>
        <v>0</v>
      </c>
      <c r="AA31" s="101">
        <f>IF(Z31,W31,"")</f>
        <v/>
      </c>
      <c r="AB31" s="101">
        <f>IF(Z31,X31,"")</f>
        <v/>
      </c>
      <c r="AC31" s="101">
        <f>IF(Z31,Y31*W31,0)</f>
        <v>0.0</v>
      </c>
      <c r="AD31" s="101">
        <f>IF(Z31,Y31*X31,0)</f>
        <v>0.0</v>
      </c>
      <c r="AE31" s="101">
        <f>$W$43/2-ABS(W31)</f>
        <v>40.0</v>
      </c>
      <c r="AF31" s="101">
        <f>$W$44/2-ABS(X31)</f>
        <v>30.0</v>
      </c>
      <c r="AG31" s="101">
        <f>IF(Z31,MIN(AE31,AF31),"")</f>
        <v/>
      </c>
      <c r="AH31" s="101">
        <f>IF(Z31,MAX(AE31,AF31),"")</f>
        <v/>
      </c>
      <c r="AI31" s="101" t="b">
        <f>IF(Z31,$W$47&gt;2.5*AG31,FALSE)</f>
        <v>0</v>
      </c>
      <c r="AJ31" s="101">
        <f>IF(AI31,13*AG31*10*SQRT($W$49*100)*SQRT($W$46)/1000*IF(AH31&lt;3*AG31,(1+AH31/AG31)/4,1),"")</f>
        <v/>
      </c>
      <c r="AK31" s="101">
        <f>IF(AI31,$W$52*AJ31/$W$53,"")</f>
        <v/>
      </c>
      <c r="AL31" s="101">
        <f>IF(AI31,Y31*9.81/AK31,"")</f>
        <v/>
      </c>
      <c r="AM31" s="101">
        <f>IF(Z31,SIGN(IF($W$42,W31,X31)),0)</f>
        <v>0.0</v>
      </c>
      <c r="AN31" s="101">
        <f>'1-Base Plate'!AC43</f>
        <v>0.0</v>
      </c>
      <c r="AO31" s="101">
        <f>'1-Base Plate'!AD43</f>
        <v>0.0</v>
      </c>
      <c r="AW31" s="101">
        <f>IF(AND(Z31,Z32),SQRT((W31-W32)^2+(X31-X32)^2),"")</f>
        <v/>
      </c>
      <c r="AX31" s="101">
        <f>IF(AND(Z31,Z33),SQRT((W31-W33)^2+(X31-X33)^2),"")</f>
        <v/>
      </c>
      <c r="AY31" s="101">
        <f>IF(AND(Z31,Z34),SQRT((W31-W34)^2+(X31-X34)^2),"")</f>
        <v/>
      </c>
      <c r="AZ31" s="101">
        <f>IF(AND(Z31,Z35),SQRT((W31-W35)^2+(X31-X35)^2),"")</f>
        <v/>
      </c>
      <c r="BA31" s="101">
        <f>IF(AND(Z31,Z36),SQRT((W31-W36)^2+(X31-X36)^2),"")</f>
        <v/>
      </c>
      <c r="BB31" s="101">
        <f>IF(V31,W31,"")</f>
        <v/>
      </c>
      <c r="BC31" s="101">
        <f>IF(V31,X31,"")</f>
        <v/>
      </c>
      <c r="BN31" s="101">
        <f>IF(6=0,$W$144,IF(6&lt;=$W$170,$W$144+6*($W$145-$W$144)/($W$170+1),IF(6=$W$170+1,$W$145,0)))</f>
        <v>0.0</v>
      </c>
      <c r="BO31" s="101">
        <f>IF(6=0,$W$169*$W$152,IF(6&lt;=$W$170,2*$W$152,IF(6=$W$170+1,$W$169*$W$152,0)))</f>
        <v>0.0</v>
      </c>
      <c r="CF31" t="n">
        <v>6</v>
      </c>
      <c r="CG31" s="101">
        <f>IF(CF31&lt;$W$171,IF(CF31&lt;$W$194,-$W$196/2+CF31*$W$196/($W$194-1),IF(CF31&lt;2*$W$194,-$W$196/2+(CF31-$W$194)*$W$196/($W$194-1),IF(CF31&lt;2*$W$194+$W$195-2,-$W$196/2,$W$196/2)))/$W$193,NA())</f>
        <v>-0.680327868852459</v>
      </c>
      <c r="CH31" s="101">
        <f>IF(CF31&lt;$W$171,IF(CF31&lt;$W$194,-$W$197/2,IF(CF31&lt;2*$W$194,$W$197/2,IF(CF31&lt;2*$W$194+$W$195-2,-$W$197/2+(CF31-2*$W$194+1)*$W$197/($W$195-1),-$W$197/2+(CF31-2*$W$194-($W$195-2)+1)*$W$197/($W$195-1))))/$W$193,NA())</f>
        <v>0.475409836065574</v>
      </c>
      <c r="CI31" s="101" t="e">
        <f>IF(V31,W31/$W$193,NA())</f>
        <v>#N/A</v>
      </c>
      <c r="CJ31" s="101" t="e">
        <f>IF(V31,X31/$W$193,NA())</f>
        <v>#N/A</v>
      </c>
      <c r="CK31" s="101" t="str">
        <f>IF(Z31,TEXT(Y31,"0.00")&amp;" t"," ")</f>
        <v> </v>
      </c>
    </row>
    <row r="32">
      <c r="V32" s="101" t="b">
        <f>'1-Base Plate'!V44</f>
        <v>0</v>
      </c>
      <c r="W32" s="101">
        <f>'1-Base Plate'!W44</f>
        <v>0.0</v>
      </c>
      <c r="X32" s="101">
        <f>'1-Base Plate'!X44</f>
        <v>0.0</v>
      </c>
      <c r="Y32" s="101">
        <f>'1-Base Plate'!AU44</f>
        <v>0.0</v>
      </c>
      <c r="Z32" s="101" t="b">
        <f>AND(V32,Y32&gt;0.0001)</f>
        <v>0</v>
      </c>
      <c r="AA32" s="101">
        <f>IF(Z32,W32,"")</f>
        <v/>
      </c>
      <c r="AB32" s="101">
        <f>IF(Z32,X32,"")</f>
        <v/>
      </c>
      <c r="AC32" s="101">
        <f>IF(Z32,Y32*W32,0)</f>
        <v>0.0</v>
      </c>
      <c r="AD32" s="101">
        <f>IF(Z32,Y32*X32,0)</f>
        <v>0.0</v>
      </c>
      <c r="AE32" s="101">
        <f>$W$43/2-ABS(W32)</f>
        <v>40.0</v>
      </c>
      <c r="AF32" s="101">
        <f>$W$44/2-ABS(X32)</f>
        <v>30.0</v>
      </c>
      <c r="AG32" s="101">
        <f>IF(Z32,MIN(AE32,AF32),"")</f>
        <v/>
      </c>
      <c r="AH32" s="101">
        <f>IF(Z32,MAX(AE32,AF32),"")</f>
        <v/>
      </c>
      <c r="AI32" s="101" t="b">
        <f>IF(Z32,$W$47&gt;2.5*AG32,FALSE)</f>
        <v>0</v>
      </c>
      <c r="AJ32" s="101">
        <f>IF(AI32,13*AG32*10*SQRT($W$49*100)*SQRT($W$46)/1000*IF(AH32&lt;3*AG32,(1+AH32/AG32)/4,1),"")</f>
        <v/>
      </c>
      <c r="AK32" s="101">
        <f>IF(AI32,$W$52*AJ32/$W$53,"")</f>
        <v/>
      </c>
      <c r="AL32" s="101">
        <f>IF(AI32,Y32*9.81/AK32,"")</f>
        <v/>
      </c>
      <c r="AM32" s="101">
        <f>IF(Z32,SIGN(IF($W$42,W32,X32)),0)</f>
        <v>0.0</v>
      </c>
      <c r="AN32" s="101">
        <f>'1-Base Plate'!AC44</f>
        <v>0.0</v>
      </c>
      <c r="AO32" s="101">
        <f>'1-Base Plate'!AD44</f>
        <v>0.0</v>
      </c>
      <c r="AX32" s="101">
        <f>IF(AND(Z32,Z33),SQRT((W32-W33)^2+(X32-X33)^2),"")</f>
        <v/>
      </c>
      <c r="AY32" s="101">
        <f>IF(AND(Z32,Z34),SQRT((W32-W34)^2+(X32-X34)^2),"")</f>
        <v/>
      </c>
      <c r="AZ32" s="101">
        <f>IF(AND(Z32,Z35),SQRT((W32-W35)^2+(X32-X35)^2),"")</f>
        <v/>
      </c>
      <c r="BA32" s="101">
        <f>IF(AND(Z32,Z36),SQRT((W32-W36)^2+(X32-X36)^2),"")</f>
        <v/>
      </c>
      <c r="BB32" s="101">
        <f>IF(V32,W32,"")</f>
        <v/>
      </c>
      <c r="BC32" s="101">
        <f>IF(V32,X32,"")</f>
        <v/>
      </c>
      <c r="BN32" s="101">
        <f>IF(7=0,$W$144,IF(7&lt;=$W$170,$W$144+7*($W$145-$W$144)/($W$170+1),IF(7=$W$170+1,$W$145,0)))</f>
        <v>0.0</v>
      </c>
      <c r="BO32" s="101">
        <f>IF(7=0,$W$169*$W$152,IF(7&lt;=$W$170,2*$W$152,IF(7=$W$170+1,$W$169*$W$152,0)))</f>
        <v>0.0</v>
      </c>
      <c r="CF32" t="n">
        <v>7</v>
      </c>
      <c r="CG32" s="101">
        <f>IF(CF32&lt;$W$171,IF(CF32&lt;$W$194,-$W$196/2+CF32*$W$196/($W$194-1),IF(CF32&lt;2*$W$194,-$W$196/2+(CF32-$W$194)*$W$196/($W$194-1),IF(CF32&lt;2*$W$194+$W$195-2,-$W$196/2,$W$196/2)))/$W$193,NA())</f>
        <v>-0.408196721311475</v>
      </c>
      <c r="CH32" s="101">
        <f>IF(CF32&lt;$W$171,IF(CF32&lt;$W$194,-$W$197/2,IF(CF32&lt;2*$W$194,$W$197/2,IF(CF32&lt;2*$W$194+$W$195-2,-$W$197/2+(CF32-2*$W$194+1)*$W$197/($W$195-1),-$W$197/2+(CF32-2*$W$194-($W$195-2)+1)*$W$197/($W$195-1))))/$W$193,NA())</f>
        <v>0.475409836065574</v>
      </c>
      <c r="CI32" s="101" t="e">
        <f>IF(V32,W32/$W$193,NA())</f>
        <v>#N/A</v>
      </c>
      <c r="CJ32" s="101" t="e">
        <f>IF(V32,X32/$W$193,NA())</f>
        <v>#N/A</v>
      </c>
      <c r="CK32" s="101" t="str">
        <f>IF(Z32,TEXT(Y32,"0.00")&amp;" t"," ")</f>
        <v> </v>
      </c>
    </row>
    <row r="33">
      <c r="V33" s="101" t="b">
        <f>'1-Base Plate'!V45</f>
        <v>0</v>
      </c>
      <c r="W33" s="101">
        <f>'1-Base Plate'!W45</f>
        <v>0.0</v>
      </c>
      <c r="X33" s="101">
        <f>'1-Base Plate'!X45</f>
        <v>0.0</v>
      </c>
      <c r="Y33" s="101">
        <f>'1-Base Plate'!AU45</f>
        <v>0.0</v>
      </c>
      <c r="Z33" s="101" t="b">
        <f>AND(V33,Y33&gt;0.0001)</f>
        <v>0</v>
      </c>
      <c r="AA33" s="101">
        <f>IF(Z33,W33,"")</f>
        <v/>
      </c>
      <c r="AB33" s="101">
        <f>IF(Z33,X33,"")</f>
        <v/>
      </c>
      <c r="AC33" s="101">
        <f>IF(Z33,Y33*W33,0)</f>
        <v>0.0</v>
      </c>
      <c r="AD33" s="101">
        <f>IF(Z33,Y33*X33,0)</f>
        <v>0.0</v>
      </c>
      <c r="AE33" s="101">
        <f>$W$43/2-ABS(W33)</f>
        <v>40.0</v>
      </c>
      <c r="AF33" s="101">
        <f>$W$44/2-ABS(X33)</f>
        <v>30.0</v>
      </c>
      <c r="AG33" s="101">
        <f>IF(Z33,MIN(AE33,AF33),"")</f>
        <v/>
      </c>
      <c r="AH33" s="101">
        <f>IF(Z33,MAX(AE33,AF33),"")</f>
        <v/>
      </c>
      <c r="AI33" s="101" t="b">
        <f>IF(Z33,$W$47&gt;2.5*AG33,FALSE)</f>
        <v>0</v>
      </c>
      <c r="AJ33" s="101">
        <f>IF(AI33,13*AG33*10*SQRT($W$49*100)*SQRT($W$46)/1000*IF(AH33&lt;3*AG33,(1+AH33/AG33)/4,1),"")</f>
        <v/>
      </c>
      <c r="AK33" s="101">
        <f>IF(AI33,$W$52*AJ33/$W$53,"")</f>
        <v/>
      </c>
      <c r="AL33" s="101">
        <f>IF(AI33,Y33*9.81/AK33,"")</f>
        <v/>
      </c>
      <c r="AM33" s="101">
        <f>IF(Z33,SIGN(IF($W$42,W33,X33)),0)</f>
        <v>0.0</v>
      </c>
      <c r="AN33" s="101">
        <f>'1-Base Plate'!AC45</f>
        <v>0.0</v>
      </c>
      <c r="AO33" s="101">
        <f>'1-Base Plate'!AD45</f>
        <v>0.0</v>
      </c>
      <c r="AY33" s="101">
        <f>IF(AND(Z33,Z34),SQRT((W33-W34)^2+(X33-X34)^2),"")</f>
        <v/>
      </c>
      <c r="AZ33" s="101">
        <f>IF(AND(Z33,Z35),SQRT((W33-W35)^2+(X33-X35)^2),"")</f>
        <v/>
      </c>
      <c r="BA33" s="101">
        <f>IF(AND(Z33,Z36),SQRT((W33-W36)^2+(X33-X36)^2),"")</f>
        <v/>
      </c>
      <c r="BB33" s="101">
        <f>IF(V33,W33,"")</f>
        <v/>
      </c>
      <c r="BC33" s="101">
        <f>IF(V33,X33,"")</f>
        <v/>
      </c>
      <c r="BN33" s="101">
        <f>IF(8=0,$W$144,IF(8&lt;=$W$170,$W$144+8*($W$145-$W$144)/($W$170+1),IF(8=$W$170+1,$W$145,0)))</f>
        <v>0.0</v>
      </c>
      <c r="BO33" s="101">
        <f>IF(8=0,$W$169*$W$152,IF(8&lt;=$W$170,2*$W$152,IF(8=$W$170+1,$W$169*$W$152,0)))</f>
        <v>0.0</v>
      </c>
      <c r="CF33" t="n">
        <v>8</v>
      </c>
      <c r="CG33" s="101">
        <f>IF(CF33&lt;$W$171,IF(CF33&lt;$W$194,-$W$196/2+CF33*$W$196/($W$194-1),IF(CF33&lt;2*$W$194,-$W$196/2+(CF33-$W$194)*$W$196/($W$194-1),IF(CF33&lt;2*$W$194+$W$195-2,-$W$196/2,$W$196/2)))/$W$193,NA())</f>
        <v>-0.136065573770492</v>
      </c>
      <c r="CH33" s="101">
        <f>IF(CF33&lt;$W$171,IF(CF33&lt;$W$194,-$W$197/2,IF(CF33&lt;2*$W$194,$W$197/2,IF(CF33&lt;2*$W$194+$W$195-2,-$W$197/2+(CF33-2*$W$194+1)*$W$197/($W$195-1),-$W$197/2+(CF33-2*$W$194-($W$195-2)+1)*$W$197/($W$195-1))))/$W$193,NA())</f>
        <v>0.475409836065574</v>
      </c>
      <c r="CI33" s="101" t="e">
        <f>IF(V33,W33/$W$193,NA())</f>
        <v>#N/A</v>
      </c>
      <c r="CJ33" s="101" t="e">
        <f>IF(V33,X33/$W$193,NA())</f>
        <v>#N/A</v>
      </c>
      <c r="CK33" s="101" t="str">
        <f>IF(Z33,TEXT(Y33,"0.00")&amp;" t"," ")</f>
        <v> </v>
      </c>
    </row>
    <row r="34">
      <c r="V34" s="101" t="b">
        <f>'1-Base Plate'!V46</f>
        <v>0</v>
      </c>
      <c r="W34" s="101">
        <f>'1-Base Plate'!W46</f>
        <v>0.0</v>
      </c>
      <c r="X34" s="101">
        <f>'1-Base Plate'!X46</f>
        <v>0.0</v>
      </c>
      <c r="Y34" s="101">
        <f>'1-Base Plate'!AU46</f>
        <v>0.0</v>
      </c>
      <c r="Z34" s="101" t="b">
        <f>AND(V34,Y34&gt;0.0001)</f>
        <v>0</v>
      </c>
      <c r="AA34" s="101">
        <f>IF(Z34,W34,"")</f>
        <v/>
      </c>
      <c r="AB34" s="101">
        <f>IF(Z34,X34,"")</f>
        <v/>
      </c>
      <c r="AC34" s="101">
        <f>IF(Z34,Y34*W34,0)</f>
        <v>0.0</v>
      </c>
      <c r="AD34" s="101">
        <f>IF(Z34,Y34*X34,0)</f>
        <v>0.0</v>
      </c>
      <c r="AE34" s="101">
        <f>$W$43/2-ABS(W34)</f>
        <v>40.0</v>
      </c>
      <c r="AF34" s="101">
        <f>$W$44/2-ABS(X34)</f>
        <v>30.0</v>
      </c>
      <c r="AG34" s="101">
        <f>IF(Z34,MIN(AE34,AF34),"")</f>
        <v/>
      </c>
      <c r="AH34" s="101">
        <f>IF(Z34,MAX(AE34,AF34),"")</f>
        <v/>
      </c>
      <c r="AI34" s="101" t="b">
        <f>IF(Z34,$W$47&gt;2.5*AG34,FALSE)</f>
        <v>0</v>
      </c>
      <c r="AJ34" s="101">
        <f>IF(AI34,13*AG34*10*SQRT($W$49*100)*SQRT($W$46)/1000*IF(AH34&lt;3*AG34,(1+AH34/AG34)/4,1),"")</f>
        <v/>
      </c>
      <c r="AK34" s="101">
        <f>IF(AI34,$W$52*AJ34/$W$53,"")</f>
        <v/>
      </c>
      <c r="AL34" s="101">
        <f>IF(AI34,Y34*9.81/AK34,"")</f>
        <v/>
      </c>
      <c r="AM34" s="101">
        <f>IF(Z34,SIGN(IF($W$42,W34,X34)),0)</f>
        <v>0.0</v>
      </c>
      <c r="AN34" s="101">
        <f>'1-Base Plate'!AC46</f>
        <v>0.0</v>
      </c>
      <c r="AO34" s="101">
        <f>'1-Base Plate'!AD46</f>
        <v>0.0</v>
      </c>
      <c r="AZ34" s="101">
        <f>IF(AND(Z34,Z35),SQRT((W34-W35)^2+(X34-X35)^2),"")</f>
        <v/>
      </c>
      <c r="BA34" s="101">
        <f>IF(AND(Z34,Z36),SQRT((W34-W36)^2+(X34-X36)^2),"")</f>
        <v/>
      </c>
      <c r="BB34" s="101">
        <f>IF(V34,W34,"")</f>
        <v/>
      </c>
      <c r="BC34" s="101">
        <f>IF(V34,X34,"")</f>
        <v/>
      </c>
      <c r="BN34" s="101">
        <f>IF(9=0,$W$144,IF(9&lt;=$W$170,$W$144+9*($W$145-$W$144)/($W$170+1),IF(9=$W$170+1,$W$145,0)))</f>
        <v>0.0</v>
      </c>
      <c r="BO34" s="101">
        <f>IF(9=0,$W$169*$W$152,IF(9&lt;=$W$170,2*$W$152,IF(9=$W$170+1,$W$169*$W$152,0)))</f>
        <v>0.0</v>
      </c>
      <c r="CF34" t="n">
        <v>9</v>
      </c>
      <c r="CG34" s="101">
        <f>IF(CF34&lt;$W$171,IF(CF34&lt;$W$194,-$W$196/2+CF34*$W$196/($W$194-1),IF(CF34&lt;2*$W$194,-$W$196/2+(CF34-$W$194)*$W$196/($W$194-1),IF(CF34&lt;2*$W$194+$W$195-2,-$W$196/2,$W$196/2)))/$W$193,NA())</f>
        <v>0.136065573770492</v>
      </c>
      <c r="CH34" s="101">
        <f>IF(CF34&lt;$W$171,IF(CF34&lt;$W$194,-$W$197/2,IF(CF34&lt;2*$W$194,$W$197/2,IF(CF34&lt;2*$W$194+$W$195-2,-$W$197/2+(CF34-2*$W$194+1)*$W$197/($W$195-1),-$W$197/2+(CF34-2*$W$194-($W$195-2)+1)*$W$197/($W$195-1))))/$W$193,NA())</f>
        <v>0.475409836065574</v>
      </c>
      <c r="CI34" s="101" t="e">
        <f>IF(V34,W34/$W$193,NA())</f>
        <v>#N/A</v>
      </c>
      <c r="CJ34" s="101" t="e">
        <f>IF(V34,X34/$W$193,NA())</f>
        <v>#N/A</v>
      </c>
      <c r="CK34" s="101" t="str">
        <f>IF(Z34,TEXT(Y34,"0.00")&amp;" t"," ")</f>
        <v> </v>
      </c>
    </row>
    <row r="35">
      <c r="V35" s="101" t="b">
        <f>'1-Base Plate'!V47</f>
        <v>0</v>
      </c>
      <c r="W35" s="101">
        <f>'1-Base Plate'!W47</f>
        <v>0.0</v>
      </c>
      <c r="X35" s="101">
        <f>'1-Base Plate'!X47</f>
        <v>0.0</v>
      </c>
      <c r="Y35" s="101">
        <f>'1-Base Plate'!AU47</f>
        <v>0.0</v>
      </c>
      <c r="Z35" s="101" t="b">
        <f>AND(V35,Y35&gt;0.0001)</f>
        <v>0</v>
      </c>
      <c r="AA35" s="101">
        <f>IF(Z35,W35,"")</f>
        <v/>
      </c>
      <c r="AB35" s="101">
        <f>IF(Z35,X35,"")</f>
        <v/>
      </c>
      <c r="AC35" s="101">
        <f>IF(Z35,Y35*W35,0)</f>
        <v>0.0</v>
      </c>
      <c r="AD35" s="101">
        <f>IF(Z35,Y35*X35,0)</f>
        <v>0.0</v>
      </c>
      <c r="AE35" s="101">
        <f>$W$43/2-ABS(W35)</f>
        <v>40.0</v>
      </c>
      <c r="AF35" s="101">
        <f>$W$44/2-ABS(X35)</f>
        <v>30.0</v>
      </c>
      <c r="AG35" s="101">
        <f>IF(Z35,MIN(AE35,AF35),"")</f>
        <v/>
      </c>
      <c r="AH35" s="101">
        <f>IF(Z35,MAX(AE35,AF35),"")</f>
        <v/>
      </c>
      <c r="AI35" s="101" t="b">
        <f>IF(Z35,$W$47&gt;2.5*AG35,FALSE)</f>
        <v>0</v>
      </c>
      <c r="AJ35" s="101">
        <f>IF(AI35,13*AG35*10*SQRT($W$49*100)*SQRT($W$46)/1000*IF(AH35&lt;3*AG35,(1+AH35/AG35)/4,1),"")</f>
        <v/>
      </c>
      <c r="AK35" s="101">
        <f>IF(AI35,$W$52*AJ35/$W$53,"")</f>
        <v/>
      </c>
      <c r="AL35" s="101">
        <f>IF(AI35,Y35*9.81/AK35,"")</f>
        <v/>
      </c>
      <c r="AM35" s="101">
        <f>IF(Z35,SIGN(IF($W$42,W35,X35)),0)</f>
        <v>0.0</v>
      </c>
      <c r="AN35" s="101">
        <f>'1-Base Plate'!AC47</f>
        <v>0.0</v>
      </c>
      <c r="AO35" s="101">
        <f>'1-Base Plate'!AD47</f>
        <v>0.0</v>
      </c>
      <c r="BA35" s="101">
        <f>IF(AND(Z35,Z36),SQRT((W35-W36)^2+(X35-X36)^2),"")</f>
        <v/>
      </c>
      <c r="BB35" s="101">
        <f>IF(V35,W35,"")</f>
        <v/>
      </c>
      <c r="BC35" s="101">
        <f>IF(V35,X35,"")</f>
        <v/>
      </c>
      <c r="BN35" s="101">
        <f>IF(10=0,$W$144,IF(10&lt;=$W$170,$W$144+10*($W$145-$W$144)/($W$170+1),IF(10=$W$170+1,$W$145,0)))</f>
        <v>0.0</v>
      </c>
      <c r="BO35" s="101">
        <f>IF(10=0,$W$169*$W$152,IF(10&lt;=$W$170,2*$W$152,IF(10=$W$170+1,$W$169*$W$152,0)))</f>
        <v>0.0</v>
      </c>
      <c r="CF35" t="n">
        <v>10</v>
      </c>
      <c r="CG35" s="101">
        <f>IF(CF35&lt;$W$171,IF(CF35&lt;$W$194,-$W$196/2+CF35*$W$196/($W$194-1),IF(CF35&lt;2*$W$194,-$W$196/2+(CF35-$W$194)*$W$196/($W$194-1),IF(CF35&lt;2*$W$194+$W$195-2,-$W$196/2,$W$196/2)))/$W$193,NA())</f>
        <v>0.408196721311475</v>
      </c>
      <c r="CH35" s="101">
        <f>IF(CF35&lt;$W$171,IF(CF35&lt;$W$194,-$W$197/2,IF(CF35&lt;2*$W$194,$W$197/2,IF(CF35&lt;2*$W$194+$W$195-2,-$W$197/2+(CF35-2*$W$194+1)*$W$197/($W$195-1),-$W$197/2+(CF35-2*$W$194-($W$195-2)+1)*$W$197/($W$195-1))))/$W$193,NA())</f>
        <v>0.475409836065574</v>
      </c>
      <c r="CI35" s="101" t="e">
        <f>IF(V35,W35/$W$193,NA())</f>
        <v>#N/A</v>
      </c>
      <c r="CJ35" s="101" t="e">
        <f>IF(V35,X35/$W$193,NA())</f>
        <v>#N/A</v>
      </c>
      <c r="CK35" s="101" t="str">
        <f>IF(Z35,TEXT(Y35,"0.00")&amp;" t"," ")</f>
        <v> </v>
      </c>
    </row>
    <row r="36">
      <c r="V36" s="101" t="b">
        <f>'1-Base Plate'!V48</f>
        <v>0</v>
      </c>
      <c r="W36" s="101">
        <f>'1-Base Plate'!W48</f>
        <v>0.0</v>
      </c>
      <c r="X36" s="101">
        <f>'1-Base Plate'!X48</f>
        <v>0.0</v>
      </c>
      <c r="Y36" s="101">
        <f>'1-Base Plate'!AU48</f>
        <v>0.0</v>
      </c>
      <c r="Z36" s="101" t="b">
        <f>AND(V36,Y36&gt;0.0001)</f>
        <v>0</v>
      </c>
      <c r="AA36" s="101">
        <f>IF(Z36,W36,"")</f>
        <v/>
      </c>
      <c r="AB36" s="101">
        <f>IF(Z36,X36,"")</f>
        <v/>
      </c>
      <c r="AC36" s="101">
        <f>IF(Z36,Y36*W36,0)</f>
        <v>0.0</v>
      </c>
      <c r="AD36" s="101">
        <f>IF(Z36,Y36*X36,0)</f>
        <v>0.0</v>
      </c>
      <c r="AE36" s="101">
        <f>$W$43/2-ABS(W36)</f>
        <v>40.0</v>
      </c>
      <c r="AF36" s="101">
        <f>$W$44/2-ABS(X36)</f>
        <v>30.0</v>
      </c>
      <c r="AG36" s="101">
        <f>IF(Z36,MIN(AE36,AF36),"")</f>
        <v/>
      </c>
      <c r="AH36" s="101">
        <f>IF(Z36,MAX(AE36,AF36),"")</f>
        <v/>
      </c>
      <c r="AI36" s="101" t="b">
        <f>IF(Z36,$W$47&gt;2.5*AG36,FALSE)</f>
        <v>0</v>
      </c>
      <c r="AJ36" s="101">
        <f>IF(AI36,13*AG36*10*SQRT($W$49*100)*SQRT($W$46)/1000*IF(AH36&lt;3*AG36,(1+AH36/AG36)/4,1),"")</f>
        <v/>
      </c>
      <c r="AK36" s="101">
        <f>IF(AI36,$W$52*AJ36/$W$53,"")</f>
        <v/>
      </c>
      <c r="AL36" s="101">
        <f>IF(AI36,Y36*9.81/AK36,"")</f>
        <v/>
      </c>
      <c r="AM36" s="101">
        <f>IF(Z36,SIGN(IF($W$42,W36,X36)),0)</f>
        <v>0.0</v>
      </c>
      <c r="AN36" s="101">
        <f>'1-Base Plate'!AC48</f>
        <v>0.0</v>
      </c>
      <c r="AO36" s="101">
        <f>'1-Base Plate'!AD48</f>
        <v>0.0</v>
      </c>
      <c r="BB36" s="101">
        <f>IF(V36,W36,"")</f>
        <v/>
      </c>
      <c r="BC36" s="101">
        <f>IF(V36,X36,"")</f>
        <v/>
      </c>
      <c r="BN36" s="101">
        <f>IF(11=0,$W$144,IF(11&lt;=$W$170,$W$144+11*($W$145-$W$144)/($W$170+1),IF(11=$W$170+1,$W$145,0)))</f>
        <v>0.0</v>
      </c>
      <c r="BO36" s="101">
        <f>IF(11=0,$W$169*$W$152,IF(11&lt;=$W$170,2*$W$152,IF(11=$W$170+1,$W$169*$W$152,0)))</f>
        <v>0.0</v>
      </c>
      <c r="CF36" t="n">
        <v>11</v>
      </c>
      <c r="CG36" s="101">
        <f>IF(CF36&lt;$W$171,IF(CF36&lt;$W$194,-$W$196/2+CF36*$W$196/($W$194-1),IF(CF36&lt;2*$W$194,-$W$196/2+(CF36-$W$194)*$W$196/($W$194-1),IF(CF36&lt;2*$W$194+$W$195-2,-$W$196/2,$W$196/2)))/$W$193,NA())</f>
        <v>0.680327868852459</v>
      </c>
      <c r="CH36" s="101">
        <f>IF(CF36&lt;$W$171,IF(CF36&lt;$W$194,-$W$197/2,IF(CF36&lt;2*$W$194,$W$197/2,IF(CF36&lt;2*$W$194+$W$195-2,-$W$197/2+(CF36-2*$W$194+1)*$W$197/($W$195-1),-$W$197/2+(CF36-2*$W$194-($W$195-2)+1)*$W$197/($W$195-1))))/$W$193,NA())</f>
        <v>0.475409836065574</v>
      </c>
      <c r="CI36" s="101" t="e">
        <f>IF(V36,W36/$W$193,NA())</f>
        <v>#N/A</v>
      </c>
      <c r="CJ36" s="101" t="e">
        <f>IF(V36,X36/$W$193,NA())</f>
        <v>#N/A</v>
      </c>
      <c r="CK36" s="101" t="str">
        <f>IF(Z36,TEXT(Y36,"0.00")&amp;" t"," ")</f>
        <v> </v>
      </c>
    </row>
    <row r="37">
      <c r="CF37" t="n">
        <v>12</v>
      </c>
      <c r="CG37" s="101">
        <f>IF(CF37&lt;$W$171,IF(CF37&lt;$W$194,-$W$196/2+CF37*$W$196/($W$194-1),IF(CF37&lt;2*$W$194,-$W$196/2+(CF37-$W$194)*$W$196/($W$194-1),IF(CF37&lt;2*$W$194+$W$195-2,-$W$196/2,$W$196/2)))/$W$193,NA())</f>
        <v>-0.680327868852459</v>
      </c>
      <c r="CH37" s="101">
        <f>IF(CF37&lt;$W$171,IF(CF37&lt;$W$194,-$W$197/2,IF(CF37&lt;2*$W$194,$W$197/2,IF(CF37&lt;2*$W$194+$W$195-2,-$W$197/2+(CF37-2*$W$194+1)*$W$197/($W$195-1),-$W$197/2+(CF37-2*$W$194-($W$195-2)+1)*$W$197/($W$195-1))))/$W$193,NA())</f>
        <v>-0.285245901639344</v>
      </c>
    </row>
    <row r="38">
      <c r="CF38" t="n">
        <v>13</v>
      </c>
      <c r="CG38" s="101">
        <f>IF(CF38&lt;$W$171,IF(CF38&lt;$W$194,-$W$196/2+CF38*$W$196/($W$194-1),IF(CF38&lt;2*$W$194,-$W$196/2+(CF38-$W$194)*$W$196/($W$194-1),IF(CF38&lt;2*$W$194+$W$195-2,-$W$196/2,$W$196/2)))/$W$193,NA())</f>
        <v>-0.680327868852459</v>
      </c>
      <c r="CH38" s="101">
        <f>IF(CF38&lt;$W$171,IF(CF38&lt;$W$194,-$W$197/2,IF(CF38&lt;2*$W$194,$W$197/2,IF(CF38&lt;2*$W$194+$W$195-2,-$W$197/2+(CF38-2*$W$194+1)*$W$197/($W$195-1),-$W$197/2+(CF38-2*$W$194-($W$195-2)+1)*$W$197/($W$195-1))))/$W$193,NA())</f>
        <v>-0.0950819672131148</v>
      </c>
    </row>
    <row r="39">
      <c r="V39" t="inlineStr">
        <is>
          <t>HELPERS (hidden)</t>
        </is>
      </c>
      <c r="CF39" t="n">
        <v>14</v>
      </c>
      <c r="CG39" s="101">
        <f>IF(CF39&lt;$W$171,IF(CF39&lt;$W$194,-$W$196/2+CF39*$W$196/($W$194-1),IF(CF39&lt;2*$W$194,-$W$196/2+(CF39-$W$194)*$W$196/($W$194-1),IF(CF39&lt;2*$W$194+$W$195-2,-$W$196/2,$W$196/2)))/$W$193,NA())</f>
        <v>-0.680327868852459</v>
      </c>
      <c r="CH39" s="101">
        <f>IF(CF39&lt;$W$171,IF(CF39&lt;$W$194,-$W$197/2,IF(CF39&lt;2*$W$194,$W$197/2,IF(CF39&lt;2*$W$194+$W$195-2,-$W$197/2+(CF39-2*$W$194+1)*$W$197/($W$195-1),-$W$197/2+(CF39-2*$W$194-($W$195-2)+1)*$W$197/($W$195-1))))/$W$193,NA())</f>
        <v>0.0950819672131147</v>
      </c>
    </row>
    <row r="40">
      <c r="V40" t="inlineStr">
        <is>
          <t>ASD?</t>
        </is>
      </c>
      <c r="W40" s="109">
        <f>'1-Base Plate'!$W$60</f>
        <v>1.0</v>
      </c>
      <c r="CA40" t="inlineStr">
        <is>
          <t>j</t>
        </is>
      </c>
      <c r="CB40" t="inlineStr">
        <is>
          <t>c</t>
        </is>
      </c>
      <c r="CC40" t="inlineStr">
        <is>
          <t>f(c) kg</t>
        </is>
      </c>
      <c r="CD40" t="inlineStr">
        <is>
          <t>Mr t.m</t>
        </is>
      </c>
      <c r="CE40" t="inlineStr">
        <is>
          <t>root</t>
        </is>
      </c>
      <c r="CF40" t="n">
        <v>15</v>
      </c>
      <c r="CG40" s="101">
        <f>IF(CF40&lt;$W$171,IF(CF40&lt;$W$194,-$W$196/2+CF40*$W$196/($W$194-1),IF(CF40&lt;2*$W$194,-$W$196/2+(CF40-$W$194)*$W$196/($W$194-1),IF(CF40&lt;2*$W$194+$W$195-2,-$W$196/2,$W$196/2)))/$W$193,NA())</f>
        <v>-0.680327868852459</v>
      </c>
      <c r="CH40" s="101">
        <f>IF(CF40&lt;$W$171,IF(CF40&lt;$W$194,-$W$197/2,IF(CF40&lt;2*$W$194,$W$197/2,IF(CF40&lt;2*$W$194+$W$195-2,-$W$197/2+(CF40-2*$W$194+1)*$W$197/($W$195-1),-$W$197/2+(CF40-2*$W$194-($W$195-2)+1)*$W$197/($W$195-1))))/$W$193,NA())</f>
        <v>0.285245901639344</v>
      </c>
    </row>
    <row r="41">
      <c r="V41" t="inlineStr">
        <is>
          <t>IDEA?</t>
        </is>
      </c>
      <c r="W41" s="109">
        <f>'1-Base Plate'!$W$61</f>
        <v>0.0</v>
      </c>
      <c r="CA41" t="n">
        <v>1</v>
      </c>
      <c r="CB41" s="101">
        <f>2*$W$142*CA41/200</f>
        <v>0.8</v>
      </c>
      <c r="CC41" s="101">
        <f>0.447*$W$45*$W$143*MIN(0.8*CB41,$W$142)+SUMPRODUCT($BO$25:$BO$36,(ABS((2000000*0.003*(CB41-$BN$25:$BN$36)/CB41)+$W$146)-ABS((2000000*0.003*(CB41-$BN$25:$BN$36)/CB41)-$W$146))/2)-$W$139*1000</f>
        <v>-151591.051719493</v>
      </c>
      <c r="CD41" s="101">
        <f>(0.447*$W$45*$W$143*MIN(0.8*CB41,$W$142)*($W$142/2-MIN(0.8*CB41,$W$142)/2)+SUMPRODUCT($BO$25:$BO$36,(ABS((2000000*0.003*(CB41-$BN$25:$BN$36)/CB41)+$W$146)-ABS((2000000*0.003*(CB41-$BN$25:$BN$36)/CB41)-$W$146))/2,($W$142/2-$BN$25:$BN$36)))/100000</f>
        <v>1.7027481599998</v>
      </c>
      <c r="CF41" t="n">
        <v>16</v>
      </c>
      <c r="CG41" s="101">
        <f>IF(CF41&lt;$W$171,IF(CF41&lt;$W$194,-$W$196/2+CF41*$W$196/($W$194-1),IF(CF41&lt;2*$W$194,-$W$196/2+(CF41-$W$194)*$W$196/($W$194-1),IF(CF41&lt;2*$W$194+$W$195-2,-$W$196/2,$W$196/2)))/$W$193,NA())</f>
        <v>0.680327868852459</v>
      </c>
      <c r="CH41" s="101">
        <f>IF(CF41&lt;$W$171,IF(CF41&lt;$W$194,-$W$197/2,IF(CF41&lt;2*$W$194,$W$197/2,IF(CF41&lt;2*$W$194+$W$195-2,-$W$197/2+(CF41-2*$W$194+1)*$W$197/($W$195-1),-$W$197/2+(CF41-2*$W$194-($W$195-2)+1)*$W$197/($W$195-1))))/$W$193,NA())</f>
        <v>-0.285245901639344</v>
      </c>
    </row>
    <row r="42">
      <c r="V42" t="inlineStr">
        <is>
          <t>major?</t>
        </is>
      </c>
      <c r="W42" s="109">
        <f>'1-Base Plate'!$W$64</f>
        <v>1.0</v>
      </c>
      <c r="CA42" t="n">
        <v>2</v>
      </c>
      <c r="CB42" s="101">
        <f>2*$W$142*CA42/200</f>
        <v>1.6</v>
      </c>
      <c r="CC42" s="101">
        <f>0.447*$W$45*$W$143*MIN(0.8*CB42,$W$142)+SUMPRODUCT($BO$25:$BO$36,(ABS((2000000*0.003*(CB42-$BN$25:$BN$36)/CB42)+$W$146)-ABS((2000000*0.003*(CB42-$BN$25:$BN$36)/CB42)-$W$146))/2)-$W$139*1000</f>
        <v>-147299.851719494</v>
      </c>
      <c r="CD42" s="101">
        <f>(0.447*$W$45*$W$143*MIN(0.8*CB42,$W$142)*($W$142/2-MIN(0.8*CB42,$W$142)/2)+SUMPRODUCT($BO$25:$BO$36,(ABS((2000000*0.003*(CB42-$BN$25:$BN$36)/CB42)+$W$146)-ABS((2000000*0.003*(CB42-$BN$25:$BN$36)/CB42)-$W$146))/2,($W$142/2-$BN$25:$BN$36)))/100000</f>
        <v>3.37803264</v>
      </c>
      <c r="CE42" s="101">
        <f>IF(AND(CC41&lt;0,CC42&gt;=0),CA42,"")</f>
        <v/>
      </c>
      <c r="CF42" t="n">
        <v>17</v>
      </c>
      <c r="CG42" s="101">
        <f>IF(CF42&lt;$W$171,IF(CF42&lt;$W$194,-$W$196/2+CF42*$W$196/($W$194-1),IF(CF42&lt;2*$W$194,-$W$196/2+(CF42-$W$194)*$W$196/($W$194-1),IF(CF42&lt;2*$W$194+$W$195-2,-$W$196/2,$W$196/2)))/$W$193,NA())</f>
        <v>0.680327868852459</v>
      </c>
      <c r="CH42" s="101">
        <f>IF(CF42&lt;$W$171,IF(CF42&lt;$W$194,-$W$197/2,IF(CF42&lt;2*$W$194,$W$197/2,IF(CF42&lt;2*$W$194+$W$195-2,-$W$197/2+(CF42-2*$W$194+1)*$W$197/($W$195-1),-$W$197/2+(CF42-2*$W$194-($W$195-2)+1)*$W$197/($W$195-1))))/$W$193,NA())</f>
        <v>-0.0950819672131148</v>
      </c>
    </row>
    <row r="43">
      <c r="V43" t="inlineStr">
        <is>
          <t>Bx</t>
        </is>
      </c>
      <c r="W43" s="109">
        <f>'1-Base Plate'!$C$23</f>
        <v>80.0</v>
      </c>
      <c r="CA43" t="n">
        <v>3</v>
      </c>
      <c r="CB43" s="101">
        <f>2*$W$142*CA43/200</f>
        <v>2.4</v>
      </c>
      <c r="CC43" s="101">
        <f>0.447*$W$45*$W$143*MIN(0.8*CB43,$W$142)+SUMPRODUCT($BO$25:$BO$36,(ABS((2000000*0.003*(CB43-$BN$25:$BN$36)/CB43)+$W$146)-ABS((2000000*0.003*(CB43-$BN$25:$BN$36)/CB43)-$W$146))/2)-$W$139*1000</f>
        <v>-143008.651719494</v>
      </c>
      <c r="CD43" s="101">
        <f>(0.447*$W$45*$W$143*MIN(0.8*CB43,$W$142)*($W$142/2-MIN(0.8*CB43,$W$142)/2)+SUMPRODUCT($BO$25:$BO$36,(ABS((2000000*0.003*(CB43-$BN$25:$BN$36)/CB43)+$W$146)-ABS((2000000*0.003*(CB43-$BN$25:$BN$36)/CB43)-$W$146))/2,($W$142/2-$BN$25:$BN$36)))/100000</f>
        <v>5.02585344</v>
      </c>
      <c r="CE43" s="101">
        <f>IF(AND(CC42&lt;0,CC43&gt;=0),CA43,"")</f>
        <v/>
      </c>
      <c r="CF43" t="n">
        <v>18</v>
      </c>
      <c r="CG43" s="101">
        <f>IF(CF43&lt;$W$171,IF(CF43&lt;$W$194,-$W$196/2+CF43*$W$196/($W$194-1),IF(CF43&lt;2*$W$194,-$W$196/2+(CF43-$W$194)*$W$196/($W$194-1),IF(CF43&lt;2*$W$194+$W$195-2,-$W$196/2,$W$196/2)))/$W$193,NA())</f>
        <v>0.680327868852459</v>
      </c>
      <c r="CH43" s="101">
        <f>IF(CF43&lt;$W$171,IF(CF43&lt;$W$194,-$W$197/2,IF(CF43&lt;2*$W$194,$W$197/2,IF(CF43&lt;2*$W$194+$W$195-2,-$W$197/2+(CF43-2*$W$194+1)*$W$197/($W$195-1),-$W$197/2+(CF43-2*$W$194-($W$195-2)+1)*$W$197/($W$195-1))))/$W$193,NA())</f>
        <v>0.0950819672131147</v>
      </c>
    </row>
    <row r="44">
      <c r="A44" s="97" t="inlineStr">
        <is>
          <t>⊕ bolt (label = T + Q in tension)      ● main bars      ▬ ties (green)      - - - base plate      ▬ pedestal</t>
        </is>
      </c>
      <c r="V44" t="inlineStr">
        <is>
          <t>By</t>
        </is>
      </c>
      <c r="W44" s="109">
        <f>'1-Base Plate'!$C$24</f>
        <v>60.0</v>
      </c>
      <c r="CA44" t="n">
        <v>4</v>
      </c>
      <c r="CB44" s="101">
        <f>2*$W$142*CA44/200</f>
        <v>3.2</v>
      </c>
      <c r="CC44" s="101">
        <f>0.447*$W$45*$W$143*MIN(0.8*CB44,$W$142)+SUMPRODUCT($BO$25:$BO$36,(ABS((2000000*0.003*(CB44-$BN$25:$BN$36)/CB44)+$W$146)-ABS((2000000*0.003*(CB44-$BN$25:$BN$36)/CB44)-$W$146))/2)-$W$139*1000</f>
        <v>-138717.451719494</v>
      </c>
      <c r="CD44" s="101">
        <f>(0.447*$W$45*$W$143*MIN(0.8*CB44,$W$142)*($W$142/2-MIN(0.8*CB44,$W$142)/2)+SUMPRODUCT($BO$25:$BO$36,(ABS((2000000*0.003*(CB44-$BN$25:$BN$36)/CB44)+$W$146)-ABS((2000000*0.003*(CB44-$BN$25:$BN$36)/CB44)-$W$146))/2,($W$142/2-$BN$25:$BN$36)))/100000</f>
        <v>6.64621056</v>
      </c>
      <c r="CE44" s="101">
        <f>IF(AND(CC43&lt;0,CC44&gt;=0),CA44,"")</f>
        <v/>
      </c>
      <c r="CF44" t="n">
        <v>19</v>
      </c>
      <c r="CG44" s="101">
        <f>IF(CF44&lt;$W$171,IF(CF44&lt;$W$194,-$W$196/2+CF44*$W$196/($W$194-1),IF(CF44&lt;2*$W$194,-$W$196/2+(CF44-$W$194)*$W$196/($W$194-1),IF(CF44&lt;2*$W$194+$W$195-2,-$W$196/2,$W$196/2)))/$W$193,NA())</f>
        <v>0.680327868852459</v>
      </c>
      <c r="CH44" s="101">
        <f>IF(CF44&lt;$W$171,IF(CF44&lt;$W$194,-$W$197/2,IF(CF44&lt;2*$W$194,$W$197/2,IF(CF44&lt;2*$W$194+$W$195-2,-$W$197/2+(CF44-2*$W$194+1)*$W$197/($W$195-1),-$W$197/2+(CF44-2*$W$194-($W$195-2)+1)*$W$197/($W$195-1))))/$W$193,NA())</f>
        <v>0.285245901639344</v>
      </c>
    </row>
    <row r="45">
      <c r="V45" t="inlineStr">
        <is>
          <t>fcu</t>
        </is>
      </c>
      <c r="W45" s="109">
        <f>'1-Base Plate'!$C$22</f>
        <v>250.0</v>
      </c>
      <c r="CA45" t="n">
        <v>5</v>
      </c>
      <c r="CB45" s="101">
        <f>2*$W$142*CA45/200</f>
        <v>4.0</v>
      </c>
      <c r="CC45" s="101">
        <f>0.447*$W$45*$W$143*MIN(0.8*CB45,$W$142)+SUMPRODUCT($BO$25:$BO$36,(ABS((2000000*0.003*(CB45-$BN$25:$BN$36)/CB45)+$W$146)-ABS((2000000*0.003*(CB45-$BN$25:$BN$36)/CB45)-$W$146))/2)-$W$139*1000</f>
        <v>-134426.251719494</v>
      </c>
      <c r="CD45" s="101">
        <f>(0.447*$W$45*$W$143*MIN(0.8*CB45,$W$142)*($W$142/2-MIN(0.8*CB45,$W$142)/2)+SUMPRODUCT($BO$25:$BO$36,(ABS((2000000*0.003*(CB45-$BN$25:$BN$36)/CB45)+$W$146)-ABS((2000000*0.003*(CB45-$BN$25:$BN$36)/CB45)-$W$146))/2,($W$142/2-$BN$25:$BN$36)))/100000</f>
        <v>8.239104</v>
      </c>
      <c r="CE45" s="101">
        <f>IF(AND(CC44&lt;0,CC45&gt;=0),CA45,"")</f>
        <v/>
      </c>
      <c r="CF45" t="n">
        <v>20</v>
      </c>
      <c r="CG45" s="101" t="e">
        <f>IF(CF45&lt;$W$171,IF(CF45&lt;$W$194,-$W$196/2+CF45*$W$196/($W$194-1),IF(CF45&lt;2*$W$194,-$W$196/2+(CF45-$W$194)*$W$196/($W$194-1),IF(CF45&lt;2*$W$194+$W$195-2,-$W$196/2,$W$196/2)))/$W$193,NA())</f>
        <v>#N/A</v>
      </c>
      <c r="CH45" s="101" t="e">
        <f>IF(CF45&lt;$W$171,IF(CF45&lt;$W$194,-$W$197/2,IF(CF45&lt;2*$W$194,$W$197/2,IF(CF45&lt;2*$W$194+$W$195-2,-$W$197/2+(CF45-2*$W$194+1)*$W$197/($W$195-1),-$W$197/2+(CF45-2*$W$194-($W$195-2)+1)*$W$197/($W$195-1))))/$W$193,NA())</f>
        <v>#N/A</v>
      </c>
    </row>
    <row r="46">
      <c r="A46" s="25" t="inlineStr">
        <is>
          <t>Data Output:</t>
        </is>
      </c>
      <c r="V46" t="inlineStr">
        <is>
          <t>f'c MPa</t>
        </is>
      </c>
      <c r="W46" s="109">
        <f>0.8*$W$45/10.2</f>
        <v>19.6078431372549</v>
      </c>
      <c r="CA46" t="n">
        <v>6</v>
      </c>
      <c r="CB46" s="101">
        <f>2*$W$142*CA46/200</f>
        <v>4.8</v>
      </c>
      <c r="CC46" s="101">
        <f>0.447*$W$45*$W$143*MIN(0.8*CB46,$W$142)+SUMPRODUCT($BO$25:$BO$36,(ABS((2000000*0.003*(CB46-$BN$25:$BN$36)/CB46)+$W$146)-ABS((2000000*0.003*(CB46-$BN$25:$BN$36)/CB46)-$W$146))/2)-$W$139*1000</f>
        <v>-122529.665678108</v>
      </c>
      <c r="CD46" s="101">
        <f>(0.447*$W$45*$W$143*MIN(0.8*CB46,$W$142)*($W$142/2-MIN(0.8*CB46,$W$142)/2)+SUMPRODUCT($BO$25:$BO$36,(ABS((2000000*0.003*(CB46-$BN$25:$BN$36)/CB46)+$W$146)-ABS((2000000*0.003*(CB46-$BN$25:$BN$36)/CB46)-$W$146))/2,($W$142/2-$BN$25:$BN$36)))/100000</f>
        <v>12.3295219257402</v>
      </c>
      <c r="CE46" s="101">
        <f>IF(AND(CC45&lt;0,CC46&gt;=0),CA46,"")</f>
        <v/>
      </c>
      <c r="CF46" t="n">
        <v>21</v>
      </c>
      <c r="CG46" s="101" t="e">
        <f>IF(CF46&lt;$W$171,IF(CF46&lt;$W$194,-$W$196/2+CF46*$W$196/($W$194-1),IF(CF46&lt;2*$W$194,-$W$196/2+(CF46-$W$194)*$W$196/($W$194-1),IF(CF46&lt;2*$W$194+$W$195-2,-$W$196/2,$W$196/2)))/$W$193,NA())</f>
        <v>#N/A</v>
      </c>
      <c r="CH46" s="101" t="e">
        <f>IF(CF46&lt;$W$171,IF(CF46&lt;$W$194,-$W$197/2,IF(CF46&lt;2*$W$194,$W$197/2,IF(CF46&lt;2*$W$194+$W$195-2,-$W$197/2+(CF46-2*$W$194+1)*$W$197/($W$195-1),-$W$197/2+(CF46-2*$W$194-($W$195-2)+1)*$W$197/($W$195-1))))/$W$193,NA())</f>
        <v>#N/A</v>
      </c>
    </row>
    <row r="47">
      <c r="A47" s="158" t="str">
        <f>IF($W$40,"ASD: anchorage strength = φ·Nn / 1.5 compared with service forces;  pedestal section with forces × 1.5 (ECP 203 ultimate).","LRFD: anchorage strength φ·Nn compared with factored forces;  pedestal section with the factored forces (ECP 203 ultimate).")</f>
        <v>ASD: anchorage strength = φ·Nn / 1.5 compared with service forces;  pedestal section with forces × 1.5 (ECP 203 ultimate).</v>
      </c>
      <c r="V47" t="inlineStr">
        <is>
          <t>hef cm</t>
        </is>
      </c>
      <c r="W47" s="109">
        <f>'2-Anchor Bolt'!$C$11</f>
        <v>120.0</v>
      </c>
      <c r="CA47" t="n">
        <v>7</v>
      </c>
      <c r="CB47" s="101">
        <f>2*$W$142*CA47/200</f>
        <v>5.6</v>
      </c>
      <c r="CC47" s="101">
        <f>0.447*$W$45*$W$143*MIN(0.8*CB47,$W$142)+SUMPRODUCT($BO$25:$BO$36,(ABS((2000000*0.003*(CB47-$BN$25:$BN$36)/CB47)+$W$146)-ABS((2000000*0.003*(CB47-$BN$25:$BN$36)/CB47)-$W$146))/2)-$W$139*1000</f>
        <v>-103589.667933369</v>
      </c>
      <c r="CD47" s="101">
        <f>(0.447*$W$45*$W$143*MIN(0.8*CB47,$W$142)*($W$142/2-MIN(0.8*CB47,$W$142)/2)+SUMPRODUCT($BO$25:$BO$36,(ABS((2000000*0.003*(CB47-$BN$25:$BN$36)/CB47)+$W$146)-ABS((2000000*0.003*(CB47-$BN$25:$BN$36)/CB47)-$W$146))/2,($W$142/2-$BN$25:$BN$36)))/100000</f>
        <v>18.7308888569935</v>
      </c>
      <c r="CE47" s="101">
        <f>IF(AND(CC46&lt;0,CC47&gt;=0),CA47,"")</f>
        <v/>
      </c>
      <c r="CF47" t="n">
        <v>22</v>
      </c>
      <c r="CG47" s="101" t="e">
        <f>IF(CF47&lt;$W$171,IF(CF47&lt;$W$194,-$W$196/2+CF47*$W$196/($W$194-1),IF(CF47&lt;2*$W$194,-$W$196/2+(CF47-$W$194)*$W$196/($W$194-1),IF(CF47&lt;2*$W$194+$W$195-2,-$W$196/2,$W$196/2)))/$W$193,NA())</f>
        <v>#N/A</v>
      </c>
      <c r="CH47" s="101" t="e">
        <f>IF(CF47&lt;$W$171,IF(CF47&lt;$W$194,-$W$197/2,IF(CF47&lt;2*$W$194,$W$197/2,IF(CF47&lt;2*$W$194+$W$195-2,-$W$197/2+(CF47-2*$W$194+1)*$W$197/($W$195-1),-$W$197/2+(CF47-2*$W$194-($W$195-2)+1)*$W$197/($W$195-1))))/$W$193,NA())</f>
        <v>#N/A</v>
      </c>
    </row>
    <row r="48">
      <c r="V48" t="inlineStr">
        <is>
          <t>da mm</t>
        </is>
      </c>
      <c r="W48" s="109">
        <f>'2-Anchor Bolt'!$C$12</f>
        <v>30.0</v>
      </c>
      <c r="CA48" t="n">
        <v>8</v>
      </c>
      <c r="CB48" s="101">
        <f>2*$W$142*CA48/200</f>
        <v>6.4</v>
      </c>
      <c r="CC48" s="101">
        <f>0.447*$W$45*$W$143*MIN(0.8*CB48,$W$142)+SUMPRODUCT($BO$25:$BO$36,(ABS((2000000*0.003*(CB48-$BN$25:$BN$36)/CB48)+$W$146)-ABS((2000000*0.003*(CB48-$BN$25:$BN$36)/CB48)-$W$146))/2)-$W$139*1000</f>
        <v>-88311.8696248149</v>
      </c>
      <c r="CD48" s="101">
        <f>(0.447*$W$45*$W$143*MIN(0.8*CB48,$W$142)*($W$142/2-MIN(0.8*CB48,$W$142)/2)+SUMPRODUCT($BO$25:$BO$36,(ABS((2000000*0.003*(CB48-$BN$25:$BN$36)/CB48)+$W$146)-ABS((2000000*0.003*(CB48-$BN$25:$BN$36)/CB48)-$W$146))/2,($W$142/2-$BN$25:$BN$36)))/100000</f>
        <v>23.8889418954334</v>
      </c>
      <c r="CE48" s="101">
        <f>IF(AND(CC47&lt;0,CC48&gt;=0),CA48,"")</f>
        <v/>
      </c>
      <c r="CF48" t="n">
        <v>23</v>
      </c>
      <c r="CG48" s="101" t="e">
        <f>IF(CF48&lt;$W$171,IF(CF48&lt;$W$194,-$W$196/2+CF48*$W$196/($W$194-1),IF(CF48&lt;2*$W$194,-$W$196/2+(CF48-$W$194)*$W$196/($W$194-1),IF(CF48&lt;2*$W$194+$W$195-2,-$W$196/2,$W$196/2)))/$W$193,NA())</f>
        <v>#N/A</v>
      </c>
      <c r="CH48" s="101" t="e">
        <f>IF(CF48&lt;$W$171,IF(CF48&lt;$W$194,-$W$197/2,IF(CF48&lt;2*$W$194,$W$197/2,IF(CF48&lt;2*$W$194+$W$195-2,-$W$197/2+(CF48-2*$W$194+1)*$W$197/($W$195-1),-$W$197/2+(CF48-2*$W$194-($W$195-2)+1)*$W$197/($W$195-1))))/$W$193,NA())</f>
        <v>#N/A</v>
      </c>
    </row>
    <row r="49">
      <c r="A49" s="98" t="inlineStr">
        <is>
          <t>Breakout in Tension:</t>
        </is>
      </c>
      <c r="D49" s="106" t="inlineStr">
        <is>
          <t>φNcbg = φ · (ANc / ANco) · ψec · ψed · ψc · Nb</t>
        </is>
      </c>
      <c r="E49" s="107" t="n"/>
      <c r="F49" s="107" t="n"/>
      <c r="G49" s="107" t="n"/>
      <c r="H49" s="107" t="n"/>
      <c r="I49" s="108" t="n"/>
      <c r="V49" t="inlineStr">
        <is>
          <t>Abrg cm2</t>
        </is>
      </c>
      <c r="W49" s="109">
        <f>'2-Anchor Bolt'!$B$32</f>
        <v>43.1968989868597</v>
      </c>
      <c r="CA49" t="n">
        <v>9</v>
      </c>
      <c r="CB49" s="101">
        <f>2*$W$142*CA49/200</f>
        <v>7.2</v>
      </c>
      <c r="CC49" s="101">
        <f>0.447*$W$45*$W$143*MIN(0.8*CB49,$W$142)+SUMPRODUCT($BO$25:$BO$36,(ABS((2000000*0.003*(CB49-$BN$25:$BN$36)/CB49)+$W$146)-ABS((2000000*0.003*(CB49-$BN$25:$BN$36)/CB49)-$W$146))/2)-$W$139*1000</f>
        <v>-75475.5376070506</v>
      </c>
      <c r="CD49" s="101">
        <f>(0.447*$W$45*$W$143*MIN(0.8*CB49,$W$142)*($W$142/2-MIN(0.8*CB49,$W$142)/2)+SUMPRODUCT($BO$25:$BO$36,(ABS((2000000*0.003*(CB49-$BN$25:$BN$36)/CB49)+$W$146)-ABS((2000000*0.003*(CB49-$BN$25:$BN$36)/CB49)-$W$146))/2,($W$142/2-$BN$25:$BN$36)))/100000</f>
        <v>28.2089644453311</v>
      </c>
      <c r="CE49" s="101">
        <f>IF(AND(CC48&lt;0,CC49&gt;=0),CA49,"")</f>
        <v/>
      </c>
      <c r="CF49" t="n">
        <v>24</v>
      </c>
      <c r="CG49" s="101" t="e">
        <f>IF(CF49&lt;$W$171,IF(CF49&lt;$W$194,-$W$196/2+CF49*$W$196/($W$194-1),IF(CF49&lt;2*$W$194,-$W$196/2+(CF49-$W$194)*$W$196/($W$194-1),IF(CF49&lt;2*$W$194+$W$195-2,-$W$196/2,$W$196/2)))/$W$193,NA())</f>
        <v>#N/A</v>
      </c>
      <c r="CH49" s="101" t="e">
        <f>IF(CF49&lt;$W$171,IF(CF49&lt;$W$194,-$W$197/2,IF(CF49&lt;2*$W$194,$W$197/2,IF(CF49&lt;2*$W$194+$W$195-2,-$W$197/2+(CF49-2*$W$194+1)*$W$197/($W$195-1),-$W$197/2+(CF49-2*$W$194-($W$195-2)+1)*$W$197/($W$195-1))))/$W$193,NA())</f>
        <v>#N/A</v>
      </c>
    </row>
    <row r="50">
      <c r="A50" s="61" t="inlineStr">
        <is>
          <t>hef' =</t>
        </is>
      </c>
      <c r="B50" s="103">
        <f>$W$70</f>
        <v>43.3333333333333</v>
      </c>
      <c r="C50" s="29" t="inlineStr">
        <is>
          <t>cm</t>
        </is>
      </c>
      <c r="D50" s="61" t="inlineStr">
        <is>
          <t>Nb =</t>
        </is>
      </c>
      <c r="E50" s="103">
        <f>$W$78</f>
        <v>399.43678576748</v>
      </c>
      <c r="F50" s="29" t="inlineStr">
        <is>
          <t>kN</t>
        </is>
      </c>
      <c r="G50" s="97" t="inlineStr">
        <is>
          <t>Nb = 10·√f'c·hef'^1.5</t>
        </is>
      </c>
      <c r="V50" t="inlineStr">
        <is>
          <t>washer D</t>
        </is>
      </c>
      <c r="W50" s="109">
        <f>'2-Anchor Bolt'!$C$15</f>
        <v>8.0</v>
      </c>
      <c r="CA50" t="n">
        <v>10</v>
      </c>
      <c r="CB50" s="101">
        <f>2*$W$142*CA50/200</f>
        <v>8.0</v>
      </c>
      <c r="CC50" s="101">
        <f>0.447*$W$45*$W$143*MIN(0.8*CB50,$W$142)+SUMPRODUCT($BO$25:$BO$36,(ABS((2000000*0.003*(CB50-$BN$25:$BN$36)/CB50)+$W$146)-ABS((2000000*0.003*(CB50-$BN$25:$BN$36)/CB50)-$W$146))/2)-$W$139*1000</f>
        <v>-64348.2319928392</v>
      </c>
      <c r="CD50" s="101">
        <f>(0.447*$W$45*$W$143*MIN(0.8*CB50,$W$142)*($W$142/2-MIN(0.8*CB50,$W$142)/2)+SUMPRODUCT($BO$25:$BO$36,(ABS((2000000*0.003*(CB50-$BN$25:$BN$36)/CB50)+$W$146)-ABS((2000000*0.003*(CB50-$BN$25:$BN$36)/CB50)-$W$146))/2,($W$142/2-$BN$25:$BN$36)))/100000</f>
        <v>31.9341265492493</v>
      </c>
      <c r="CE50" s="101">
        <f>IF(AND(CC49&lt;0,CC50&gt;=0),CA50,"")</f>
        <v/>
      </c>
      <c r="CF50" t="n">
        <v>25</v>
      </c>
      <c r="CG50" s="101" t="e">
        <f>IF(CF50&lt;$W$171,IF(CF50&lt;$W$194,-$W$196/2+CF50*$W$196/($W$194-1),IF(CF50&lt;2*$W$194,-$W$196/2+(CF50-$W$194)*$W$196/($W$194-1),IF(CF50&lt;2*$W$194+$W$195-2,-$W$196/2,$W$196/2)))/$W$193,NA())</f>
        <v>#N/A</v>
      </c>
      <c r="CH50" s="101" t="e">
        <f>IF(CF50&lt;$W$171,IF(CF50&lt;$W$194,-$W$197/2,IF(CF50&lt;2*$W$194,$W$197/2,IF(CF50&lt;2*$W$194+$W$195-2,-$W$197/2+(CF50-2*$W$194+1)*$W$197/($W$195-1),-$W$197/2+(CF50-2*$W$194-($W$195-2)+1)*$W$197/($W$195-1))))/$W$193,NA())</f>
        <v>#N/A</v>
      </c>
    </row>
    <row r="51">
      <c r="A51" s="61" t="inlineStr">
        <is>
          <t>ANc =</t>
        </is>
      </c>
      <c r="B51" s="105">
        <f>$W$71</f>
        <v>4800.0</v>
      </c>
      <c r="C51" s="29" t="inlineStr">
        <is>
          <t>cm2</t>
        </is>
      </c>
      <c r="D51" s="61" t="inlineStr">
        <is>
          <t>ANco =</t>
        </is>
      </c>
      <c r="E51" s="105">
        <f>$W$72</f>
        <v>16900.0</v>
      </c>
      <c r="F51" s="29" t="inlineStr">
        <is>
          <t>cm2</t>
        </is>
      </c>
      <c r="G51" s="97" t="inlineStr">
        <is>
          <t>ANco = 9·hef'²</t>
        </is>
      </c>
      <c r="V51" t="inlineStr">
        <is>
          <t>reinforced?</t>
        </is>
      </c>
      <c r="W51" s="109">
        <f>$C$8="Reinforced"</f>
        <v>1.0</v>
      </c>
      <c r="CA51" t="n">
        <v>11</v>
      </c>
      <c r="CB51" s="101">
        <f>2*$W$142*CA51/200</f>
        <v>8.8</v>
      </c>
      <c r="CC51" s="101">
        <f>0.447*$W$45*$W$143*MIN(0.8*CB51,$W$142)+SUMPRODUCT($BO$25:$BO$36,(ABS((2000000*0.003*(CB51-$BN$25:$BN$36)/CB51)+$W$146)-ABS((2000000*0.003*(CB51-$BN$25:$BN$36)/CB51)-$W$146))/2)-$W$139*1000</f>
        <v>-54463.8546721208</v>
      </c>
      <c r="CD51" s="101">
        <f>(0.447*$W$45*$W$143*MIN(0.8*CB51,$W$142)*($W$142/2-MIN(0.8*CB51,$W$142)/2)+SUMPRODUCT($BO$25:$BO$36,(ABS((2000000*0.003*(CB51-$BN$25:$BN$36)/CB51)+$W$146)-ABS((2000000*0.003*(CB51-$BN$25:$BN$36)/CB51)-$W$146))/2,($W$142/2-$BN$25:$BN$36)))/100000</f>
        <v>35.2191727797278</v>
      </c>
      <c r="CE51" s="101">
        <f>IF(AND(CC50&lt;0,CC51&gt;=0),CA51,"")</f>
        <v/>
      </c>
      <c r="CF51" t="n">
        <v>26</v>
      </c>
      <c r="CG51" s="101" t="e">
        <f>IF(CF51&lt;$W$171,IF(CF51&lt;$W$194,-$W$196/2+CF51*$W$196/($W$194-1),IF(CF51&lt;2*$W$194,-$W$196/2+(CF51-$W$194)*$W$196/($W$194-1),IF(CF51&lt;2*$W$194+$W$195-2,-$W$196/2,$W$196/2)))/$W$193,NA())</f>
        <v>#N/A</v>
      </c>
      <c r="CH51" s="101" t="e">
        <f>IF(CF51&lt;$W$171,IF(CF51&lt;$W$194,-$W$197/2,IF(CF51&lt;2*$W$194,$W$197/2,IF(CF51&lt;2*$W$194+$W$195-2,-$W$197/2+(CF51-2*$W$194+1)*$W$197/($W$195-1),-$W$197/2+(CF51-2*$W$194-($W$195-2)+1)*$W$197/($W$195-1))))/$W$193,NA())</f>
        <v>#N/A</v>
      </c>
    </row>
    <row r="52">
      <c r="A52" s="61" t="inlineStr">
        <is>
          <t>ψed =</t>
        </is>
      </c>
      <c r="B52" s="104">
        <f>$W$74</f>
        <v>0.769230769230769</v>
      </c>
      <c r="D52" s="61" t="inlineStr">
        <is>
          <t>ψec =</t>
        </is>
      </c>
      <c r="E52" s="104">
        <f>$W$77</f>
        <v>1.0</v>
      </c>
      <c r="G52" s="97" t="inlineStr">
        <is>
          <t>0.7+0.3·c/1.5hef' ; 1/(1+e'N/1.5hef')</t>
        </is>
      </c>
      <c r="V52" t="inlineStr">
        <is>
          <t>phi</t>
        </is>
      </c>
      <c r="W52" s="109">
        <f>IF($W$51,0.75,0.7)</f>
        <v>0.75</v>
      </c>
      <c r="CA52" t="n">
        <v>12</v>
      </c>
      <c r="CB52" s="101">
        <f>2*$W$142*CA52/200</f>
        <v>9.6</v>
      </c>
      <c r="CC52" s="101">
        <f>0.447*$W$45*$W$143*MIN(0.8*CB52,$W$142)+SUMPRODUCT($BO$25:$BO$36,(ABS((2000000*0.003*(CB52-$BN$25:$BN$36)/CB52)+$W$146)-ABS((2000000*0.003*(CB52-$BN$25:$BN$36)/CB52)-$W$146))/2)-$W$139*1000</f>
        <v>-45511.6735715221</v>
      </c>
      <c r="CD52" s="101">
        <f>(0.447*$W$45*$W$143*MIN(0.8*CB52,$W$142)*($W$142/2-MIN(0.8*CB52,$W$142)/2)+SUMPRODUCT($BO$25:$BO$36,(ABS((2000000*0.003*(CB52-$BN$25:$BN$36)/CB52)+$W$146)-ABS((2000000*0.003*(CB52-$BN$25:$BN$36)/CB52)-$W$146))/2,($W$142/2-$BN$25:$BN$36)))/100000</f>
        <v>38.1672661851265</v>
      </c>
      <c r="CE52" s="101">
        <f>IF(AND(CC51&lt;0,CC52&gt;=0),CA52,"")</f>
        <v/>
      </c>
      <c r="CF52" t="n">
        <v>27</v>
      </c>
      <c r="CG52" s="101" t="e">
        <f>IF(CF52&lt;$W$171,IF(CF52&lt;$W$194,-$W$196/2+CF52*$W$196/($W$194-1),IF(CF52&lt;2*$W$194,-$W$196/2+(CF52-$W$194)*$W$196/($W$194-1),IF(CF52&lt;2*$W$194+$W$195-2,-$W$196/2,$W$196/2)))/$W$193,NA())</f>
        <v>#N/A</v>
      </c>
      <c r="CH52" s="101" t="e">
        <f>IF(CF52&lt;$W$171,IF(CF52&lt;$W$194,-$W$197/2,IF(CF52&lt;2*$W$194,$W$197/2,IF(CF52&lt;2*$W$194+$W$195-2,-$W$197/2+(CF52-2*$W$194+1)*$W$197/($W$195-1),-$W$197/2+(CF52-2*$W$194-($W$195-2)+1)*$W$197/($W$195-1))))/$W$193,NA())</f>
        <v>#N/A</v>
      </c>
    </row>
    <row r="53">
      <c r="A53" s="48" t="inlineStr">
        <is>
          <t>Capacity =</t>
        </is>
      </c>
      <c r="C53" s="103">
        <f>$W$80</f>
        <v>43.634423570412</v>
      </c>
      <c r="D53" s="29" t="inlineStr">
        <is>
          <t>kN</t>
        </is>
      </c>
      <c r="E53" s="117" t="str">
        <f>IF($W$80&gt;=$W$81,"&gt; ","&lt; ")&amp;TEXT($W$81,"0.0")&amp;" kN"</f>
        <v>&lt; 87.3 kN</v>
      </c>
      <c r="F53" s="118" t="str">
        <f>$W$82</f>
        <v>By Rft.</v>
      </c>
      <c r="G53" s="119" t="str">
        <f>IF($W$51,"φ = 0.75 (with rft)","φ = 0.70 (plain)")&amp;" ; Σ(T+Q) of bolts in tension"</f>
        <v>φ = 0.75 (with rft) ; Σ(T+Q) of bolts in tension</v>
      </c>
      <c r="V53" t="inlineStr">
        <is>
          <t>ASD divisor</t>
        </is>
      </c>
      <c r="W53" s="109">
        <f>IF($W$40,1.5,1)</f>
        <v>1.5</v>
      </c>
      <c r="CA53" t="n">
        <v>13</v>
      </c>
      <c r="CB53" s="101">
        <f>2*$W$142*CA53/200</f>
        <v>10.4</v>
      </c>
      <c r="CC53" s="101">
        <f>0.447*$W$45*$W$143*MIN(0.8*CB53,$W$142)+SUMPRODUCT($BO$25:$BO$36,(ABS((2000000*0.003*(CB53-$BN$25:$BN$36)/CB53)+$W$146)-ABS((2000000*0.003*(CB53-$BN$25:$BN$36)/CB53)-$W$146))/2)-$W$139*1000</f>
        <v>-37276.5664864002</v>
      </c>
      <c r="CD53" s="101">
        <f>(0.447*$W$45*$W$143*MIN(0.8*CB53,$W$142)*($W$142/2-MIN(0.8*CB53,$W$142)/2)+SUMPRODUCT($BO$25:$BO$36,(ABS((2000000*0.003*(CB53-$BN$25:$BN$36)/CB53)+$W$146)-ABS((2000000*0.003*(CB53-$BN$25:$BN$36)/CB53)-$W$146))/2,($W$142/2-$BN$25:$BN$36)))/100000</f>
        <v>40.849827337387</v>
      </c>
      <c r="CE53" s="101">
        <f>IF(AND(CC52&lt;0,CC53&gt;=0),CA53,"")</f>
        <v/>
      </c>
      <c r="CF53" t="n">
        <v>28</v>
      </c>
      <c r="CG53" s="101" t="e">
        <f>IF(CF53&lt;$W$171,IF(CF53&lt;$W$194,-$W$196/2+CF53*$W$196/($W$194-1),IF(CF53&lt;2*$W$194,-$W$196/2+(CF53-$W$194)*$W$196/($W$194-1),IF(CF53&lt;2*$W$194+$W$195-2,-$W$196/2,$W$196/2)))/$W$193,NA())</f>
        <v>#N/A</v>
      </c>
      <c r="CH53" s="101" t="e">
        <f>IF(CF53&lt;$W$171,IF(CF53&lt;$W$194,-$W$197/2,IF(CF53&lt;2*$W$194,$W$197/2,IF(CF53&lt;2*$W$194+$W$195-2,-$W$197/2+(CF53-2*$W$194+1)*$W$197/($W$195-1),-$W$197/2+(CF53-2*$W$194-($W$195-2)+1)*$W$197/($W$195-1))))/$W$193,NA())</f>
        <v>#N/A</v>
      </c>
    </row>
    <row r="54">
      <c r="V54" t="inlineStr">
        <is>
          <t>fy kg/cm2</t>
        </is>
      </c>
      <c r="W54" s="109">
        <f>IF($F$8="36/52",3600,IF($F$8="40/60",4000,2400))</f>
        <v>3600.0</v>
      </c>
      <c r="CA54" t="n">
        <v>14</v>
      </c>
      <c r="CB54" s="101">
        <f>2*$W$142*CA54/200</f>
        <v>11.2</v>
      </c>
      <c r="CC54" s="101">
        <f>0.447*$W$45*$W$143*MIN(0.8*CB54,$W$142)+SUMPRODUCT($BO$25:$BO$36,(ABS((2000000*0.003*(CB54-$BN$25:$BN$36)/CB54)+$W$146)-ABS((2000000*0.003*(CB54-$BN$25:$BN$36)/CB54)-$W$146))/2)-$W$139*1000</f>
        <v>-29604.8746991528</v>
      </c>
      <c r="CD54" s="101">
        <f>(0.447*$W$45*$W$143*MIN(0.8*CB54,$W$142)*($W$142/2-MIN(0.8*CB54,$W$142)/2)+SUMPRODUCT($BO$25:$BO$36,(ABS((2000000*0.003*(CB54-$BN$25:$BN$36)/CB54)+$W$146)-ABS((2000000*0.003*(CB54-$BN$25:$BN$36)/CB54)-$W$146))/2,($W$142/2-$BN$25:$BN$36)))/100000</f>
        <v>43.3178709307532</v>
      </c>
      <c r="CE54" s="101">
        <f>IF(AND(CC53&lt;0,CC54&gt;=0),CA54,"")</f>
        <v/>
      </c>
      <c r="CF54" t="n">
        <v>29</v>
      </c>
      <c r="CG54" s="101" t="e">
        <f>IF(CF54&lt;$W$171,IF(CF54&lt;$W$194,-$W$196/2+CF54*$W$196/($W$194-1),IF(CF54&lt;2*$W$194,-$W$196/2+(CF54-$W$194)*$W$196/($W$194-1),IF(CF54&lt;2*$W$194+$W$195-2,-$W$196/2,$W$196/2)))/$W$193,NA())</f>
        <v>#N/A</v>
      </c>
      <c r="CH54" s="101" t="e">
        <f>IF(CF54&lt;$W$171,IF(CF54&lt;$W$194,-$W$197/2,IF(CF54&lt;2*$W$194,$W$197/2,IF(CF54&lt;2*$W$194+$W$195-2,-$W$197/2+(CF54-2*$W$194+1)*$W$197/($W$195-1),-$W$197/2+(CF54-2*$W$194-($W$195-2)+1)*$W$197/($W$195-1))))/$W$193,NA())</f>
        <v>#N/A</v>
      </c>
    </row>
    <row r="55">
      <c r="A55" s="98" t="inlineStr">
        <is>
          <t>Side-Face Blowout:</t>
        </is>
      </c>
      <c r="D55" s="106" t="inlineStr">
        <is>
          <t>Nsb = 13 · ca1 · √Abrg · √f'c · (1 + ca2/ca1) / 4</t>
        </is>
      </c>
      <c r="E55" s="107" t="n"/>
      <c r="F55" s="107" t="n"/>
      <c r="G55" s="107" t="n"/>
      <c r="H55" s="107" t="n"/>
      <c r="I55" s="108" t="n"/>
      <c r="V55" t="inlineStr">
        <is>
          <t>n bolts</t>
        </is>
      </c>
      <c r="W55" s="109">
        <f>'1-Base Plate'!$W$77</f>
        <v>4.0</v>
      </c>
      <c r="CA55" t="n">
        <v>15</v>
      </c>
      <c r="CB55" s="101">
        <f>2*$W$142*CA55/200</f>
        <v>12.0</v>
      </c>
      <c r="CC55" s="101">
        <f>0.447*$W$45*$W$143*MIN(0.8*CB55,$W$142)+SUMPRODUCT($BO$25:$BO$36,(ABS((2000000*0.003*(CB55-$BN$25:$BN$36)/CB55)+$W$146)-ABS((2000000*0.003*(CB55-$BN$25:$BN$36)/CB55)-$W$146))/2)-$W$139*1000</f>
        <v>-22383.9151502051</v>
      </c>
      <c r="CD55" s="101">
        <f>(0.447*$W$45*$W$143*MIN(0.8*CB55,$W$142)*($W$142/2-MIN(0.8*CB55,$W$142)/2)+SUMPRODUCT($BO$25:$BO$36,(ABS((2000000*0.003*(CB55-$BN$25:$BN$36)/CB55)+$W$146)-ABS((2000000*0.003*(CB55-$BN$25:$BN$36)/CB55)-$W$146))/2,($W$142/2-$BN$25:$BN$36)))/100000</f>
        <v>45.6088077410038</v>
      </c>
      <c r="CE55" s="101">
        <f>IF(AND(CC54&lt;0,CC55&gt;=0),CA55,"")</f>
        <v/>
      </c>
      <c r="CF55" t="n">
        <v>30</v>
      </c>
      <c r="CG55" s="101" t="e">
        <f>IF(CF55&lt;$W$171,IF(CF55&lt;$W$194,-$W$196/2+CF55*$W$196/($W$194-1),IF(CF55&lt;2*$W$194,-$W$196/2+(CF55-$W$194)*$W$196/($W$194-1),IF(CF55&lt;2*$W$194+$W$195-2,-$W$196/2,$W$196/2)))/$W$193,NA())</f>
        <v>#N/A</v>
      </c>
      <c r="CH55" s="101" t="e">
        <f>IF(CF55&lt;$W$171,IF(CF55&lt;$W$194,-$W$197/2,IF(CF55&lt;2*$W$194,$W$197/2,IF(CF55&lt;2*$W$194+$W$195-2,-$W$197/2+(CF55-2*$W$194+1)*$W$197/($W$195-1),-$W$197/2+(CF55-2*$W$194-($W$195-2)+1)*$W$197/($W$195-1))))/$W$193,NA())</f>
        <v>#N/A</v>
      </c>
    </row>
    <row r="56">
      <c r="A56" s="61" t="inlineStr">
        <is>
          <t>ca1 =</t>
        </is>
      </c>
      <c r="B56" s="103">
        <f>$W$86</f>
        <v>15.0</v>
      </c>
      <c r="C56" s="29" t="inlineStr">
        <is>
          <t>cm</t>
        </is>
      </c>
      <c r="D56" s="61" t="inlineStr">
        <is>
          <t>ca2 =</t>
        </is>
      </c>
      <c r="E56" s="103">
        <f>$W$87</f>
        <v>20.0</v>
      </c>
      <c r="F56" s="29" t="inlineStr">
        <is>
          <t>cm</t>
        </is>
      </c>
      <c r="G56" s="97" t="inlineStr">
        <is>
          <t>only when hef &gt; 2.5·ca1</t>
        </is>
      </c>
      <c r="V56" t="inlineStr">
        <is>
          <t>n tension</t>
        </is>
      </c>
      <c r="W56" s="109">
        <f>COUNTIF($Z$25:$Z$36,TRUE)</f>
        <v>2.0</v>
      </c>
      <c r="CA56" t="n">
        <v>16</v>
      </c>
      <c r="CB56" s="101">
        <f>2*$W$142*CA56/200</f>
        <v>12.8</v>
      </c>
      <c r="CC56" s="101">
        <f>0.447*$W$45*$W$143*MIN(0.8*CB56,$W$142)+SUMPRODUCT($BO$25:$BO$36,(ABS((2000000*0.003*(CB56-$BN$25:$BN$36)/CB56)+$W$146)-ABS((2000000*0.003*(CB56-$BN$25:$BN$36)/CB56)-$W$146))/2)-$W$139*1000</f>
        <v>-15529.1755448758</v>
      </c>
      <c r="CD56" s="101">
        <f>(0.447*$W$45*$W$143*MIN(0.8*CB56,$W$142)*($W$142/2-MIN(0.8*CB56,$W$142)/2)+SUMPRODUCT($BO$25:$BO$36,(ABS((2000000*0.003*(CB56-$BN$25:$BN$36)/CB56)+$W$146)-ABS((2000000*0.003*(CB56-$BN$25:$BN$36)/CB56)-$W$146))/2,($W$142/2-$BN$25:$BN$36)))/100000</f>
        <v>47.7506958499731</v>
      </c>
      <c r="CE56" s="101">
        <f>IF(AND(CC55&lt;0,CC56&gt;=0),CA56,"")</f>
        <v/>
      </c>
      <c r="CF56" t="n">
        <v>31</v>
      </c>
      <c r="CG56" s="101" t="e">
        <f>IF(CF56&lt;$W$171,IF(CF56&lt;$W$194,-$W$196/2+CF56*$W$196/($W$194-1),IF(CF56&lt;2*$W$194,-$W$196/2+(CF56-$W$194)*$W$196/($W$194-1),IF(CF56&lt;2*$W$194+$W$195-2,-$W$196/2,$W$196/2)))/$W$193,NA())</f>
        <v>#N/A</v>
      </c>
      <c r="CH56" s="101" t="e">
        <f>IF(CF56&lt;$W$171,IF(CF56&lt;$W$194,-$W$197/2,IF(CF56&lt;2*$W$194,$W$197/2,IF(CF56&lt;2*$W$194+$W$195-2,-$W$197/2+(CF56-2*$W$194+1)*$W$197/($W$195-1),-$W$197/2+(CF56-2*$W$194-($W$195-2)+1)*$W$197/($W$195-1))))/$W$193,NA())</f>
        <v>#N/A</v>
      </c>
    </row>
    <row r="57">
      <c r="A57" s="48" t="inlineStr">
        <is>
          <t>Capacity =</t>
        </is>
      </c>
      <c r="C57" s="103">
        <f>IF($W$83&gt;0,$W$88,"-")</f>
        <v>165.524622864306</v>
      </c>
      <c r="D57" s="29" t="inlineStr">
        <is>
          <t>kN</t>
        </is>
      </c>
      <c r="E57" s="117" t="str">
        <f>IF($W$83&gt;0,IF($W$84&lt;=1,"&gt; ","&lt; ")&amp;TEXT($W$89,"0.0")&amp;" kN","hef ≤ 2.5 ca1")</f>
        <v>&gt; 43.7 kN</v>
      </c>
      <c r="F57" s="118" t="str">
        <f>$W$90</f>
        <v>Safe</v>
      </c>
      <c r="V57" t="inlineStr">
        <is>
          <t>sum T+Q</t>
        </is>
      </c>
      <c r="W57" s="109">
        <f>SUM($Y$25:$Y$36)</f>
        <v>8.89953603295773</v>
      </c>
      <c r="CA57" t="n">
        <v>17</v>
      </c>
      <c r="CB57" s="101">
        <f>2*$W$142*CA57/200</f>
        <v>13.6</v>
      </c>
      <c r="CC57" s="101">
        <f>0.447*$W$45*$W$143*MIN(0.8*CB57,$W$142)+SUMPRODUCT($BO$25:$BO$36,(ABS((2000000*0.003*(CB57-$BN$25:$BN$36)/CB57)+$W$146)-ABS((2000000*0.003*(CB57-$BN$25:$BN$36)/CB57)-$W$146))/2)-$W$139*1000</f>
        <v>-7883.81517966611</v>
      </c>
      <c r="CD57" s="101">
        <f>(0.447*$W$45*$W$143*MIN(0.8*CB57,$W$142)*($W$142/2-MIN(0.8*CB57,$W$142)/2)+SUMPRODUCT($BO$25:$BO$36,(ABS((2000000*0.003*(CB57-$BN$25:$BN$36)/CB57)+$W$146)-ABS((2000000*0.003*(CB57-$BN$25:$BN$36)/CB57)-$W$146))/2,($W$142/2-$BN$25:$BN$36)))/100000</f>
        <v>49.9825603978886</v>
      </c>
      <c r="CE57" s="101">
        <f>IF(AND(CC56&lt;0,CC57&gt;=0),CA57,"")</f>
        <v/>
      </c>
      <c r="CF57" t="n">
        <v>32</v>
      </c>
      <c r="CG57" s="101" t="e">
        <f>IF(CF57&lt;$W$171,IF(CF57&lt;$W$194,-$W$196/2+CF57*$W$196/($W$194-1),IF(CF57&lt;2*$W$194,-$W$196/2+(CF57-$W$194)*$W$196/($W$194-1),IF(CF57&lt;2*$W$194+$W$195-2,-$W$196/2,$W$196/2)))/$W$193,NA())</f>
        <v>#N/A</v>
      </c>
      <c r="CH57" s="101" t="e">
        <f>IF(CF57&lt;$W$171,IF(CF57&lt;$W$194,-$W$197/2,IF(CF57&lt;2*$W$194,$W$197/2,IF(CF57&lt;2*$W$194+$W$195-2,-$W$197/2+(CF57-2*$W$194+1)*$W$197/($W$195-1),-$W$197/2+(CF57-2*$W$194-($W$195-2)+1)*$W$197/($W$195-1))))/$W$193,NA())</f>
        <v>#N/A</v>
      </c>
    </row>
    <row r="58">
      <c r="V58" t="inlineStr">
        <is>
          <t>max T+Q</t>
        </is>
      </c>
      <c r="W58" s="109">
        <f>MAX($Y$25:$Y$36)</f>
        <v>4.44976801647886</v>
      </c>
      <c r="CA58" t="n">
        <v>18</v>
      </c>
      <c r="CB58" s="101">
        <f>2*$W$142*CA58/200</f>
        <v>14.4</v>
      </c>
      <c r="CC58" s="101">
        <f>0.447*$W$45*$W$143*MIN(0.8*CB58,$W$142)+SUMPRODUCT($BO$25:$BO$36,(ABS((2000000*0.003*(CB58-$BN$25:$BN$36)/CB58)+$W$146)-ABS((2000000*0.003*(CB58-$BN$25:$BN$36)/CB58)-$W$146))/2)-$W$139*1000</f>
        <v>-40.0068611227762</v>
      </c>
      <c r="CD58" s="101">
        <f>(0.447*$W$45*$W$143*MIN(0.8*CB58,$W$142)*($W$142/2-MIN(0.8*CB58,$W$142)/2)+SUMPRODUCT($BO$25:$BO$36,(ABS((2000000*0.003*(CB58-$BN$25:$BN$36)/CB58)+$W$146)-ABS((2000000*0.003*(CB58-$BN$25:$BN$36)/CB58)-$W$146))/2,($W$142/2-$BN$25:$BN$36)))/100000</f>
        <v>52.1350701127967</v>
      </c>
      <c r="CE58" s="101">
        <f>IF(AND(CC57&lt;0,CC58&gt;=0),CA58,"")</f>
        <v/>
      </c>
      <c r="CF58" t="n">
        <v>33</v>
      </c>
      <c r="CG58" s="101" t="e">
        <f>IF(CF58&lt;$W$171,IF(CF58&lt;$W$194,-$W$196/2+CF58*$W$196/($W$194-1),IF(CF58&lt;2*$W$194,-$W$196/2+(CF58-$W$194)*$W$196/($W$194-1),IF(CF58&lt;2*$W$194+$W$195-2,-$W$196/2,$W$196/2)))/$W$193,NA())</f>
        <v>#N/A</v>
      </c>
      <c r="CH58" s="101" t="e">
        <f>IF(CF58&lt;$W$171,IF(CF58&lt;$W$194,-$W$197/2,IF(CF58&lt;2*$W$194,$W$197/2,IF(CF58&lt;2*$W$194+$W$195-2,-$W$197/2+(CF58-2*$W$194+1)*$W$197/($W$195-1),-$W$197/2+(CF58-2*$W$194-($W$195-2)+1)*$W$197/($W$195-1))))/$W$193,NA())</f>
        <v>#N/A</v>
      </c>
    </row>
    <row r="59">
      <c r="A59" s="98" t="inlineStr">
        <is>
          <t>Breakout in Shear:</t>
        </is>
      </c>
      <c r="D59" s="106" t="inlineStr">
        <is>
          <t>φVcbg = φ · (Avc / Avco) · ψed · ψc · ψh · Vb</t>
        </is>
      </c>
      <c r="E59" s="107" t="n"/>
      <c r="F59" s="107" t="n"/>
      <c r="G59" s="107" t="n"/>
      <c r="H59" s="107" t="n"/>
      <c r="I59" s="108" t="n"/>
      <c r="V59" t="inlineStr">
        <is>
          <t>x min t</t>
        </is>
      </c>
      <c r="W59" s="109">
        <f>IF($W$56&gt;0,MIN($AA$25:$AA$36),0)</f>
        <v>-25.0</v>
      </c>
      <c r="CA59" t="n">
        <v>19</v>
      </c>
      <c r="CB59" s="101">
        <f>2*$W$142*CA59/200</f>
        <v>15.2</v>
      </c>
      <c r="CC59" s="101">
        <f>0.447*$W$45*$W$143*MIN(0.8*CB59,$W$142)+SUMPRODUCT($BO$25:$BO$36,(ABS((2000000*0.003*(CB59-$BN$25:$BN$36)/CB59)+$W$146)-ABS((2000000*0.003*(CB59-$BN$25:$BN$36)/CB59)-$W$146))/2)-$W$139*1000</f>
        <v>6021.94908229008</v>
      </c>
      <c r="CD59" s="101">
        <f>(0.447*$W$45*$W$143*MIN(0.8*CB59,$W$142)*($W$142/2-MIN(0.8*CB59,$W$142)/2)+SUMPRODUCT($BO$25:$BO$36,(ABS((2000000*0.003*(CB59-$BN$25:$BN$36)/CB59)+$W$146)-ABS((2000000*0.003*(CB59-$BN$25:$BN$36)/CB59)-$W$146))/2,($W$142/2-$BN$25:$BN$36)))/100000</f>
        <v>53.6962066167246</v>
      </c>
      <c r="CE59" s="101">
        <f>IF(AND(CC58&lt;0,CC59&gt;=0),CA59,"")</f>
        <v>19.0</v>
      </c>
      <c r="CF59" t="n">
        <v>34</v>
      </c>
      <c r="CG59" s="101" t="e">
        <f>IF(CF59&lt;$W$171,IF(CF59&lt;$W$194,-$W$196/2+CF59*$W$196/($W$194-1),IF(CF59&lt;2*$W$194,-$W$196/2+(CF59-$W$194)*$W$196/($W$194-1),IF(CF59&lt;2*$W$194+$W$195-2,-$W$196/2,$W$196/2)))/$W$193,NA())</f>
        <v>#N/A</v>
      </c>
      <c r="CH59" s="101" t="e">
        <f>IF(CF59&lt;$W$171,IF(CF59&lt;$W$194,-$W$197/2,IF(CF59&lt;2*$W$194,$W$197/2,IF(CF59&lt;2*$W$194+$W$195-2,-$W$197/2+(CF59-2*$W$194+1)*$W$197/($W$195-1),-$W$197/2+(CF59-2*$W$194-($W$195-2)+1)*$W$197/($W$195-1))))/$W$193,NA())</f>
        <v>#N/A</v>
      </c>
    </row>
    <row r="60">
      <c r="D60" s="106" t="inlineStr">
        <is>
          <t>Vb = min[ 0.6·(le/da)^0.2·√da ,  3.7 ] · √f'c · ca1^1.5</t>
        </is>
      </c>
      <c r="E60" s="107" t="n"/>
      <c r="F60" s="107" t="n"/>
      <c r="G60" s="107" t="n"/>
      <c r="H60" s="107" t="n"/>
      <c r="I60" s="108" t="n"/>
      <c r="V60" t="inlineStr">
        <is>
          <t>x max t</t>
        </is>
      </c>
      <c r="W60" s="109">
        <f>IF($W$56&gt;0,MAX($AA$25:$AA$36),0)</f>
        <v>-25.0</v>
      </c>
      <c r="CA60" t="n">
        <v>20</v>
      </c>
      <c r="CB60" s="101">
        <f>2*$W$142*CA60/200</f>
        <v>16.0</v>
      </c>
      <c r="CC60" s="101">
        <f>0.447*$W$45*$W$143*MIN(0.8*CB60,$W$142)+SUMPRODUCT($BO$25:$BO$36,(ABS((2000000*0.003*(CB60-$BN$25:$BN$36)/CB60)+$W$146)-ABS((2000000*0.003*(CB60-$BN$25:$BN$36)/CB60)-$W$146))/2)-$W$139*1000</f>
        <v>11906.8294313617</v>
      </c>
      <c r="CD60" s="101">
        <f>(0.447*$W$45*$W$143*MIN(0.8*CB60,$W$142)*($W$142/2-MIN(0.8*CB60,$W$142)/2)+SUMPRODUCT($BO$25:$BO$36,(ABS((2000000*0.003*(CB60-$BN$25:$BN$36)/CB60)+$W$146)-ABS((2000000*0.003*(CB60-$BN$25:$BN$36)/CB60)-$W$146))/2,($W$142/2-$BN$25:$BN$36)))/100000</f>
        <v>55.1946059822596</v>
      </c>
      <c r="CE60" s="101">
        <f>IF(AND(CC59&lt;0,CC60&gt;=0),CA60,"")</f>
        <v/>
      </c>
      <c r="CF60" t="n">
        <v>35</v>
      </c>
      <c r="CG60" s="101" t="e">
        <f>IF(CF60&lt;$W$171,IF(CF60&lt;$W$194,-$W$196/2+CF60*$W$196/($W$194-1),IF(CF60&lt;2*$W$194,-$W$196/2+(CF60-$W$194)*$W$196/($W$194-1),IF(CF60&lt;2*$W$194+$W$195-2,-$W$196/2,$W$196/2)))/$W$193,NA())</f>
        <v>#N/A</v>
      </c>
      <c r="CH60" s="101" t="e">
        <f>IF(CF60&lt;$W$171,IF(CF60&lt;$W$194,-$W$197/2,IF(CF60&lt;2*$W$194,$W$197/2,IF(CF60&lt;2*$W$194+$W$195-2,-$W$197/2+(CF60-2*$W$194+1)*$W$197/($W$195-1),-$W$197/2+(CF60-2*$W$194-($W$195-2)+1)*$W$197/($W$195-1))))/$W$193,NA())</f>
        <v>#N/A</v>
      </c>
    </row>
    <row r="61">
      <c r="A61" s="53" t="inlineStr">
        <is>
          <t>Direction</t>
        </is>
      </c>
      <c r="B61" s="53" t="inlineStr">
        <is>
          <t>ca1 (cm)</t>
        </is>
      </c>
      <c r="C61" s="53" t="inlineStr">
        <is>
          <t>Avc/Avco</t>
        </is>
      </c>
      <c r="D61" s="53" t="inlineStr">
        <is>
          <t>ψed</t>
        </is>
      </c>
      <c r="E61" s="53" t="inlineStr">
        <is>
          <t>Vb (kN)</t>
        </is>
      </c>
      <c r="F61" s="53" t="inlineStr">
        <is>
          <t>φVcbg (kN)</t>
        </is>
      </c>
      <c r="G61" s="53" t="inlineStr">
        <is>
          <t>V (kN)</t>
        </is>
      </c>
      <c r="I61" s="53" t="inlineStr">
        <is>
          <t>Check</t>
        </is>
      </c>
      <c r="V61" t="inlineStr">
        <is>
          <t>y min t</t>
        </is>
      </c>
      <c r="W61" s="109">
        <f>IF($W$56&gt;0,MIN($AB$25:$AB$36),0)</f>
        <v>-10.0</v>
      </c>
      <c r="CA61" t="n">
        <v>21</v>
      </c>
      <c r="CB61" s="101">
        <f>2*$W$142*CA61/200</f>
        <v>16.8</v>
      </c>
      <c r="CC61" s="101">
        <f>0.447*$W$45*$W$143*MIN(0.8*CB61,$W$142)+SUMPRODUCT($BO$25:$BO$36,(ABS((2000000*0.003*(CB61-$BN$25:$BN$36)/CB61)+$W$146)-ABS((2000000*0.003*(CB61-$BN$25:$BN$36)/CB61)-$W$146))/2)-$W$139*1000</f>
        <v>17639.9306995693</v>
      </c>
      <c r="CD61" s="101">
        <f>(0.447*$W$45*$W$143*MIN(0.8*CB61,$W$142)*($W$142/2-MIN(0.8*CB61,$W$142)/2)+SUMPRODUCT($BO$25:$BO$36,(ABS((2000000*0.003*(CB61-$BN$25:$BN$36)/CB61)+$W$146)-ABS((2000000*0.003*(CB61-$BN$25:$BN$36)/CB61)-$W$146))/2,($W$142/2-$BN$25:$BN$36)))/100000</f>
        <v>56.6353072748866</v>
      </c>
      <c r="CE61" s="101">
        <f>IF(AND(CC60&lt;0,CC61&gt;=0),CA61,"")</f>
        <v/>
      </c>
      <c r="CF61" t="n">
        <v>36</v>
      </c>
      <c r="CG61" s="101" t="e">
        <f>IF(CF61&lt;$W$171,IF(CF61&lt;$W$194,-$W$196/2+CF61*$W$196/($W$194-1),IF(CF61&lt;2*$W$194,-$W$196/2+(CF61-$W$194)*$W$196/($W$194-1),IF(CF61&lt;2*$W$194+$W$195-2,-$W$196/2,$W$196/2)))/$W$193,NA())</f>
        <v>#N/A</v>
      </c>
      <c r="CH61" s="101" t="e">
        <f>IF(CF61&lt;$W$171,IF(CF61&lt;$W$194,-$W$197/2,IF(CF61&lt;2*$W$194,$W$197/2,IF(CF61&lt;2*$W$194+$W$195-2,-$W$197/2+(CF61-2*$W$194+1)*$W$197/($W$195-1),-$W$197/2+(CF61-2*$W$194-($W$195-2)+1)*$W$197/($W$195-1))))/$W$193,NA())</f>
        <v>#N/A</v>
      </c>
    </row>
    <row r="62">
      <c r="A62" s="61" t="inlineStr">
        <is>
          <t>Shear X</t>
        </is>
      </c>
      <c r="B62" s="103">
        <f>$W$116</f>
        <v>15.0</v>
      </c>
      <c r="C62" s="104">
        <f>$W$117/$W$118</f>
        <v>1.33333333333333</v>
      </c>
      <c r="D62" s="104">
        <f>$W$119</f>
        <v>0.966666666666667</v>
      </c>
      <c r="E62" s="103">
        <f>$W$121</f>
        <v>30.0991010223385</v>
      </c>
      <c r="F62" s="103">
        <f>$W$123</f>
        <v>23.2766381239418</v>
      </c>
      <c r="G62" s="103">
        <f>$W$124</f>
        <v>29.43</v>
      </c>
      <c r="I62" s="118" t="str">
        <f>$W$125</f>
        <v>By Rft.</v>
      </c>
      <c r="V62" t="inlineStr">
        <is>
          <t>y max t</t>
        </is>
      </c>
      <c r="W62" s="109">
        <f>IF($W$56&gt;0,MAX($AB$25:$AB$36),0)</f>
        <v>10.0</v>
      </c>
      <c r="CA62" t="n">
        <v>22</v>
      </c>
      <c r="CB62" s="101">
        <f>2*$W$142*CA62/200</f>
        <v>17.6</v>
      </c>
      <c r="CC62" s="101">
        <f>0.447*$W$45*$W$143*MIN(0.8*CB62,$W$142)+SUMPRODUCT($BO$25:$BO$36,(ABS((2000000*0.003*(CB62-$BN$25:$BN$36)/CB62)+$W$146)-ABS((2000000*0.003*(CB62-$BN$25:$BN$36)/CB62)-$W$146))/2)-$W$139*1000</f>
        <v>23241.9500343035</v>
      </c>
      <c r="CD62" s="101">
        <f>(0.447*$W$45*$W$143*MIN(0.8*CB62,$W$142)*($W$142/2-MIN(0.8*CB62,$W$142)/2)+SUMPRODUCT($BO$25:$BO$36,(ABS((2000000*0.003*(CB62-$BN$25:$BN$36)/CB62)+$W$146)-ABS((2000000*0.003*(CB62-$BN$25:$BN$36)/CB62)-$W$146))/2,($W$142/2-$BN$25:$BN$36)))/100000</f>
        <v>58.0224333663657</v>
      </c>
      <c r="CE62" s="101">
        <f>IF(AND(CC61&lt;0,CC62&gt;=0),CA62,"")</f>
        <v/>
      </c>
      <c r="CF62" t="n">
        <v>37</v>
      </c>
      <c r="CG62" s="101" t="e">
        <f>IF(CF62&lt;$W$171,IF(CF62&lt;$W$194,-$W$196/2+CF62*$W$196/($W$194-1),IF(CF62&lt;2*$W$194,-$W$196/2+(CF62-$W$194)*$W$196/($W$194-1),IF(CF62&lt;2*$W$194+$W$195-2,-$W$196/2,$W$196/2)))/$W$193,NA())</f>
        <v>#N/A</v>
      </c>
      <c r="CH62" s="101" t="e">
        <f>IF(CF62&lt;$W$171,IF(CF62&lt;$W$194,-$W$197/2,IF(CF62&lt;2*$W$194,$W$197/2,IF(CF62&lt;2*$W$194+$W$195-2,-$W$197/2+(CF62-2*$W$194+1)*$W$197/($W$195-1),-$W$197/2+(CF62-2*$W$194-($W$195-2)+1)*$W$197/($W$195-1))))/$W$193,NA())</f>
        <v>#N/A</v>
      </c>
    </row>
    <row r="63">
      <c r="A63" s="61" t="inlineStr">
        <is>
          <t>Shear Y</t>
        </is>
      </c>
      <c r="B63" s="103">
        <f>$W$128</f>
        <v>20.0</v>
      </c>
      <c r="C63" s="104">
        <f>$W$129/$W$130</f>
        <v>1.33333333333333</v>
      </c>
      <c r="D63" s="104">
        <f>$W$131</f>
        <v>0.85</v>
      </c>
      <c r="E63" s="103">
        <f>$W$133</f>
        <v>46.3405975403011</v>
      </c>
      <c r="F63" s="103">
        <f>$W$135</f>
        <v>31.5116063274047</v>
      </c>
      <c r="G63" s="103">
        <f>$W$136</f>
        <v>9.81</v>
      </c>
      <c r="I63" s="118" t="str">
        <f>$W$137</f>
        <v>Safe</v>
      </c>
      <c r="V63" t="inlineStr">
        <is>
          <t>c left</t>
        </is>
      </c>
      <c r="W63" s="109">
        <f>$W$43/2+$W$59</f>
        <v>15.0</v>
      </c>
      <c r="CA63" t="n">
        <v>23</v>
      </c>
      <c r="CB63" s="101">
        <f>2*$W$142*CA63/200</f>
        <v>18.4</v>
      </c>
      <c r="CC63" s="101">
        <f>0.447*$W$45*$W$143*MIN(0.8*CB63,$W$142)+SUMPRODUCT($BO$25:$BO$36,(ABS((2000000*0.003*(CB63-$BN$25:$BN$36)/CB63)+$W$146)-ABS((2000000*0.003*(CB63-$BN$25:$BN$36)/CB63)-$W$146))/2)-$W$139*1000</f>
        <v>28729.9850790608</v>
      </c>
      <c r="CD63" s="101">
        <f>(0.447*$W$45*$W$143*MIN(0.8*CB63,$W$142)*($W$142/2-MIN(0.8*CB63,$W$142)/2)+SUMPRODUCT($BO$25:$BO$36,(ABS((2000000*0.003*(CB63-$BN$25:$BN$36)/CB63)+$W$146)-ABS((2000000*0.003*(CB63-$BN$25:$BN$36)/CB63)-$W$146))/2,($W$142/2-$BN$25:$BN$36)))/100000</f>
        <v>59.3593901072813</v>
      </c>
      <c r="CE63" s="101">
        <f>IF(AND(CC62&lt;0,CC63&gt;=0),CA63,"")</f>
        <v/>
      </c>
      <c r="CF63" t="n">
        <v>38</v>
      </c>
      <c r="CG63" s="101" t="e">
        <f>IF(CF63&lt;$W$171,IF(CF63&lt;$W$194,-$W$196/2+CF63*$W$196/($W$194-1),IF(CF63&lt;2*$W$194,-$W$196/2+(CF63-$W$194)*$W$196/($W$194-1),IF(CF63&lt;2*$W$194+$W$195-2,-$W$196/2,$W$196/2)))/$W$193,NA())</f>
        <v>#N/A</v>
      </c>
      <c r="CH63" s="101" t="e">
        <f>IF(CF63&lt;$W$171,IF(CF63&lt;$W$194,-$W$197/2,IF(CF63&lt;2*$W$194,$W$197/2,IF(CF63&lt;2*$W$194+$W$195-2,-$W$197/2+(CF63-2*$W$194+1)*$W$197/($W$195-1),-$W$197/2+(CF63-2*$W$194-($W$195-2)+1)*$W$197/($W$195-1))))/$W$193,NA())</f>
        <v>#N/A</v>
      </c>
    </row>
    <row r="64">
      <c r="A64" s="119" t="str">
        <f>IF($W$51,"ψc,V = 1.2 (edge bars),  φ = 0.75","ψc,V = 1.0,  φ = 0.70")&amp;"  ;  ψh = √(1.5·ca1/H) ≥ 1  ;  le = min(hef, 8da)  ;  all shear on the front row"</f>
        <v>ψc,V = 1.2 (edge bars),  φ = 0.75  ;  ψh = √(1.5·ca1/H) ≥ 1  ;  le = min(hef, 8da)  ;  all shear on the front row</v>
      </c>
      <c r="V64" t="inlineStr">
        <is>
          <t>c right</t>
        </is>
      </c>
      <c r="W64" s="109">
        <f>$W$43/2-$W$60</f>
        <v>65.0</v>
      </c>
      <c r="CA64" t="n">
        <v>24</v>
      </c>
      <c r="CB64" s="101">
        <f>2*$W$142*CA64/200</f>
        <v>19.2</v>
      </c>
      <c r="CC64" s="101">
        <f>0.447*$W$45*$W$143*MIN(0.8*CB64,$W$142)+SUMPRODUCT($BO$25:$BO$36,(ABS((2000000*0.003*(CB64-$BN$25:$BN$36)/CB64)+$W$146)-ABS((2000000*0.003*(CB64-$BN$25:$BN$36)/CB64)-$W$146))/2)-$W$139*1000</f>
        <v>34118.2838700883</v>
      </c>
      <c r="CD64" s="101">
        <f>(0.447*$W$45*$W$143*MIN(0.8*CB64,$W$142)*($W$142/2-MIN(0.8*CB64,$W$142)/2)+SUMPRODUCT($BO$25:$BO$36,(ABS((2000000*0.003*(CB64-$BN$25:$BN$36)/CB64)+$W$146)-ABS((2000000*0.003*(CB64-$BN$25:$BN$36)/CB64)-$W$146))/2,($W$142/2-$BN$25:$BN$36)))/100000</f>
        <v>60.649015706454</v>
      </c>
      <c r="CE64" s="101">
        <f>IF(AND(CC63&lt;0,CC64&gt;=0),CA64,"")</f>
        <v/>
      </c>
      <c r="CF64" t="n">
        <v>39</v>
      </c>
      <c r="CG64" s="101" t="e">
        <f>IF(CF64&lt;$W$171,IF(CF64&lt;$W$194,-$W$196/2+CF64*$W$196/($W$194-1),IF(CF64&lt;2*$W$194,-$W$196/2+(CF64-$W$194)*$W$196/($W$194-1),IF(CF64&lt;2*$W$194+$W$195-2,-$W$196/2,$W$196/2)))/$W$193,NA())</f>
        <v>#N/A</v>
      </c>
      <c r="CH64" s="101" t="e">
        <f>IF(CF64&lt;$W$171,IF(CF64&lt;$W$194,-$W$197/2,IF(CF64&lt;2*$W$194,$W$197/2,IF(CF64&lt;2*$W$194+$W$195-2,-$W$197/2+(CF64-2*$W$194+1)*$W$197/($W$195-1),-$W$197/2+(CF64-2*$W$194-($W$195-2)+1)*$W$197/($W$195-1))))/$W$193,NA())</f>
        <v>#N/A</v>
      </c>
    </row>
    <row r="65">
      <c r="V65" t="inlineStr">
        <is>
          <t>c bottom</t>
        </is>
      </c>
      <c r="W65" s="109">
        <f>$W$44/2+$W$61</f>
        <v>20.0</v>
      </c>
      <c r="CA65" t="n">
        <v>25</v>
      </c>
      <c r="CB65" s="101">
        <f>2*$W$142*CA65/200</f>
        <v>20.0</v>
      </c>
      <c r="CC65" s="101">
        <f>0.447*$W$45*$W$143*MIN(0.8*CB65,$W$142)+SUMPRODUCT($BO$25:$BO$36,(ABS((2000000*0.003*(CB65-$BN$25:$BN$36)/CB65)+$W$146)-ABS((2000000*0.003*(CB65-$BN$25:$BN$36)/CB65)-$W$146))/2)-$W$139*1000</f>
        <v>39418.8147578336</v>
      </c>
      <c r="CD65" s="101">
        <f>(0.447*$W$45*$W$143*MIN(0.8*CB65,$W$142)*($W$142/2-MIN(0.8*CB65,$W$142)/2)+SUMPRODUCT($BO$25:$BO$36,(ABS((2000000*0.003*(CB65-$BN$25:$BN$36)/CB65)+$W$146)-ABS((2000000*0.003*(CB65-$BN$25:$BN$36)/CB65)-$W$146))/2,($W$142/2-$BN$25:$BN$36)))/100000</f>
        <v>61.8936942592929</v>
      </c>
      <c r="CE65" s="101">
        <f>IF(AND(CC64&lt;0,CC65&gt;=0),CA65,"")</f>
        <v/>
      </c>
      <c r="CF65" t="n">
        <v>40</v>
      </c>
      <c r="CG65" s="101" t="e">
        <f>IF(CF65&lt;$W$171,IF(CF65&lt;$W$194,-$W$196/2+CF65*$W$196/($W$194-1),IF(CF65&lt;2*$W$194,-$W$196/2+(CF65-$W$194)*$W$196/($W$194-1),IF(CF65&lt;2*$W$194+$W$195-2,-$W$196/2,$W$196/2)))/$W$193,NA())</f>
        <v>#N/A</v>
      </c>
      <c r="CH65" s="101" t="e">
        <f>IF(CF65&lt;$W$171,IF(CF65&lt;$W$194,-$W$197/2,IF(CF65&lt;2*$W$194,$W$197/2,IF(CF65&lt;2*$W$194+$W$195-2,-$W$197/2+(CF65-2*$W$194+1)*$W$197/($W$195-1),-$W$197/2+(CF65-2*$W$194-($W$195-2)+1)*$W$197/($W$195-1))))/$W$193,NA())</f>
        <v>#N/A</v>
      </c>
    </row>
    <row r="66">
      <c r="A66" s="98" t="inlineStr">
        <is>
          <t>Pryout:</t>
        </is>
      </c>
      <c r="D66" s="106" t="inlineStr">
        <is>
          <t>φVcpg = φ · kcp · Ncpg  ,  kcp = 2 ,  φ = 0.70</t>
        </is>
      </c>
      <c r="E66" s="107" t="n"/>
      <c r="F66" s="107" t="n"/>
      <c r="G66" s="107" t="n"/>
      <c r="H66" s="107" t="n"/>
      <c r="I66" s="108" t="n"/>
      <c r="V66" t="inlineStr">
        <is>
          <t>c top</t>
        </is>
      </c>
      <c r="W66" s="109">
        <f>$W$44/2-$W$62</f>
        <v>20.0</v>
      </c>
      <c r="CA66" t="n">
        <v>26</v>
      </c>
      <c r="CB66" s="101">
        <f>2*$W$142*CA66/200</f>
        <v>20.8</v>
      </c>
      <c r="CC66" s="101">
        <f>0.447*$W$45*$W$143*MIN(0.8*CB66,$W$142)+SUMPRODUCT($BO$25:$BO$36,(ABS((2000000*0.003*(CB66-$BN$25:$BN$36)/CB66)+$W$146)-ABS((2000000*0.003*(CB66-$BN$25:$BN$36)/CB66)-$W$146))/2)-$W$139*1000</f>
        <v>44641.7048080601</v>
      </c>
      <c r="CD66" s="101">
        <f>(0.447*$W$45*$W$143*MIN(0.8*CB66,$W$142)*($W$142/2-MIN(0.8*CB66,$W$142)/2)+SUMPRODUCT($BO$25:$BO$36,(ABS((2000000*0.003*(CB66-$BN$25:$BN$36)/CB66)+$W$146)-ABS((2000000*0.003*(CB66-$BN$25:$BN$36)/CB66)-$W$146))/2,($W$142/2-$BN$25:$BN$36)))/100000</f>
        <v>63.095443077298</v>
      </c>
      <c r="CE66" s="101">
        <f>IF(AND(CC65&lt;0,CC66&gt;=0),CA66,"")</f>
        <v/>
      </c>
      <c r="CF66" t="n">
        <v>41</v>
      </c>
      <c r="CG66" s="101" t="e">
        <f>IF(CF66&lt;$W$171,IF(CF66&lt;$W$194,-$W$196/2+CF66*$W$196/($W$194-1),IF(CF66&lt;2*$W$194,-$W$196/2+(CF66-$W$194)*$W$196/($W$194-1),IF(CF66&lt;2*$W$194+$W$195-2,-$W$196/2,$W$196/2)))/$W$193,NA())</f>
        <v>#N/A</v>
      </c>
      <c r="CH66" s="101" t="e">
        <f>IF(CF66&lt;$W$171,IF(CF66&lt;$W$194,-$W$197/2,IF(CF66&lt;2*$W$194,$W$197/2,IF(CF66&lt;2*$W$194+$W$195-2,-$W$197/2+(CF66-2*$W$194+1)*$W$197/($W$195-1),-$W$197/2+(CF66-2*$W$194-($W$195-2)+1)*$W$197/($W$195-1))))/$W$193,NA())</f>
        <v>#N/A</v>
      </c>
    </row>
    <row r="67">
      <c r="A67" s="61" t="inlineStr">
        <is>
          <t>Ncpg =</t>
        </is>
      </c>
      <c r="B67" s="103">
        <f>$W$108</f>
        <v>152.84698560372</v>
      </c>
      <c r="C67" s="29" t="inlineStr">
        <is>
          <t>kN</t>
        </is>
      </c>
      <c r="D67" s="61" t="inlineStr">
        <is>
          <t>ΣV =</t>
        </is>
      </c>
      <c r="E67" s="103">
        <f>$W$110</f>
        <v>31.0219438462518</v>
      </c>
      <c r="F67" s="29" t="inlineStr">
        <is>
          <t>kN</t>
        </is>
      </c>
      <c r="G67" s="97" t="inlineStr">
        <is>
          <t>Ncpg = breakout of all bolts</t>
        </is>
      </c>
      <c r="V67" t="inlineStr">
        <is>
          <t>faces &lt; 1.5hef</t>
        </is>
      </c>
      <c r="W67" s="120">
        <f>($W$63&lt;1.5*$W$47)+($W$64&lt;1.5*$W$47)+($W$65&lt;1.5*$W$47)+($W$66&lt;1.5*$W$47)</f>
        <v>4.0</v>
      </c>
      <c r="CA67" t="n">
        <v>27</v>
      </c>
      <c r="CB67" s="101">
        <f>2*$W$142*CA67/200</f>
        <v>21.6</v>
      </c>
      <c r="CC67" s="101">
        <f>0.447*$W$45*$W$143*MIN(0.8*CB67,$W$142)+SUMPRODUCT($BO$25:$BO$36,(ABS((2000000*0.003*(CB67-$BN$25:$BN$36)/CB67)+$W$146)-ABS((2000000*0.003*(CB67-$BN$25:$BN$36)/CB67)-$W$146))/2)-$W$139*1000</f>
        <v>49795.580780492</v>
      </c>
      <c r="CD67" s="101">
        <f>(0.447*$W$45*$W$143*MIN(0.8*CB67,$W$142)*($W$142/2-MIN(0.8*CB67,$W$142)/2)+SUMPRODUCT($BO$25:$BO$36,(ABS((2000000*0.003*(CB67-$BN$25:$BN$36)/CB67)+$W$146)-ABS((2000000*0.003*(CB67-$BN$25:$BN$36)/CB67)-$W$146))/2,($W$142/2-$BN$25:$BN$36)))/100000</f>
        <v>64.2559806110064</v>
      </c>
      <c r="CE67" s="101">
        <f>IF(AND(CC66&lt;0,CC67&gt;=0),CA67,"")</f>
        <v/>
      </c>
      <c r="CF67" t="n">
        <v>42</v>
      </c>
      <c r="CG67" s="101" t="e">
        <f>IF(CF67&lt;$W$171,IF(CF67&lt;$W$194,-$W$196/2+CF67*$W$196/($W$194-1),IF(CF67&lt;2*$W$194,-$W$196/2+(CF67-$W$194)*$W$196/($W$194-1),IF(CF67&lt;2*$W$194+$W$195-2,-$W$196/2,$W$196/2)))/$W$193,NA())</f>
        <v>#N/A</v>
      </c>
      <c r="CH67" s="101" t="e">
        <f>IF(CF67&lt;$W$171,IF(CF67&lt;$W$194,-$W$197/2,IF(CF67&lt;2*$W$194,$W$197/2,IF(CF67&lt;2*$W$194+$W$195-2,-$W$197/2+(CF67-2*$W$194+1)*$W$197/($W$195-1),-$W$197/2+(CF67-2*$W$194-($W$195-2)+1)*$W$197/($W$195-1))))/$W$193,NA())</f>
        <v>#N/A</v>
      </c>
    </row>
    <row r="68">
      <c r="A68" s="48" t="inlineStr">
        <is>
          <t>Capacity =</t>
        </is>
      </c>
      <c r="C68" s="103">
        <f>$W$109</f>
        <v>142.657186563472</v>
      </c>
      <c r="D68" s="29" t="inlineStr">
        <is>
          <t>kN</t>
        </is>
      </c>
      <c r="E68" s="117" t="str">
        <f>IF($W$109&gt;=$W$110,"&gt; ","&lt; ")&amp;TEXT($W$110,"0.0")&amp;" kN"</f>
        <v>&gt; 31.0 kN</v>
      </c>
      <c r="F68" s="118" t="str">
        <f>$W$111</f>
        <v>Safe</v>
      </c>
      <c r="V68" t="inlineStr">
        <is>
          <t>ca,max</t>
        </is>
      </c>
      <c r="W68" s="109">
        <f>MAX(IF($W$63&lt;1.5*$W$47,$W$63,0),IF($W$64&lt;1.5*$W$47,$W$64,0),IF($W$65&lt;1.5*$W$47,$W$65,0),IF($W$66&lt;1.5*$W$47,$W$66,0))</f>
        <v>65.0</v>
      </c>
      <c r="CA68" t="n">
        <v>28</v>
      </c>
      <c r="CB68" s="101">
        <f>2*$W$142*CA68/200</f>
        <v>22.4</v>
      </c>
      <c r="CC68" s="101">
        <f>0.447*$W$45*$W$143*MIN(0.8*CB68,$W$142)+SUMPRODUCT($BO$25:$BO$36,(ABS((2000000*0.003*(CB68-$BN$25:$BN$36)/CB68)+$W$146)-ABS((2000000*0.003*(CB68-$BN$25:$BN$36)/CB68)-$W$146))/2)-$W$139*1000</f>
        <v>55670.8546182673</v>
      </c>
      <c r="CD68" s="101">
        <f>(0.447*$W$45*$W$143*MIN(0.8*CB68,$W$142)*($W$142/2-MIN(0.8*CB68,$W$142)/2)+SUMPRODUCT($BO$25:$BO$36,(ABS((2000000*0.003*(CB68-$BN$25:$BN$36)/CB68)+$W$146)-ABS((2000000*0.003*(CB68-$BN$25:$BN$36)/CB68)-$W$146))/2,($W$142/2-$BN$25:$BN$36)))/100000</f>
        <v>65.428772185178</v>
      </c>
      <c r="CE68" s="101">
        <f>IF(AND(CC67&lt;0,CC68&gt;=0),CA68,"")</f>
        <v/>
      </c>
      <c r="CF68" t="n">
        <v>43</v>
      </c>
      <c r="CG68" s="101" t="e">
        <f>IF(CF68&lt;$W$171,IF(CF68&lt;$W$194,-$W$196/2+CF68*$W$196/($W$194-1),IF(CF68&lt;2*$W$194,-$W$196/2+(CF68-$W$194)*$W$196/($W$194-1),IF(CF68&lt;2*$W$194+$W$195-2,-$W$196/2,$W$196/2)))/$W$193,NA())</f>
        <v>#N/A</v>
      </c>
      <c r="CH68" s="101" t="e">
        <f>IF(CF68&lt;$W$171,IF(CF68&lt;$W$194,-$W$197/2,IF(CF68&lt;2*$W$194,$W$197/2,IF(CF68&lt;2*$W$194+$W$195-2,-$W$197/2+(CF68-2*$W$194+1)*$W$197/($W$195-1),-$W$197/2+(CF68-2*$W$194-($W$195-2)+1)*$W$197/($W$195-1))))/$W$193,NA())</f>
        <v>#N/A</v>
      </c>
    </row>
    <row r="69">
      <c r="V69" t="inlineStr">
        <is>
          <t>s max t</t>
        </is>
      </c>
      <c r="W69" s="109">
        <f>IF($W$56&gt;1,MAX($AP$25:$BA$36),0)</f>
        <v>20.0</v>
      </c>
      <c r="CA69" t="n">
        <v>29</v>
      </c>
      <c r="CB69" s="101">
        <f>2*$W$142*CA69/200</f>
        <v>23.2</v>
      </c>
      <c r="CC69" s="101">
        <f>0.447*$W$45*$W$143*MIN(0.8*CB69,$W$142)+SUMPRODUCT($BO$25:$BO$36,(ABS((2000000*0.003*(CB69-$BN$25:$BN$36)/CB69)+$W$146)-ABS((2000000*0.003*(CB69-$BN$25:$BN$36)/CB69)-$W$146))/2)-$W$139*1000</f>
        <v>61946.9221423008</v>
      </c>
      <c r="CD69" s="101">
        <f>(0.447*$W$45*$W$143*MIN(0.8*CB69,$W$142)*($W$142/2-MIN(0.8*CB69,$W$142)/2)+SUMPRODUCT($BO$25:$BO$36,(ABS((2000000*0.003*(CB69-$BN$25:$BN$36)/CB69)+$W$146)-ABS((2000000*0.003*(CB69-$BN$25:$BN$36)/CB69)-$W$146))/2,($W$142/2-$BN$25:$BN$36)))/100000</f>
        <v>66.5933762096797</v>
      </c>
      <c r="CE69" s="101">
        <f>IF(AND(CC68&lt;0,CC69&gt;=0),CA69,"")</f>
        <v/>
      </c>
      <c r="CF69" t="n">
        <v>44</v>
      </c>
      <c r="CG69" s="101" t="e">
        <f>IF(CF69&lt;$W$171,IF(CF69&lt;$W$194,-$W$196/2+CF69*$W$196/($W$194-1),IF(CF69&lt;2*$W$194,-$W$196/2+(CF69-$W$194)*$W$196/($W$194-1),IF(CF69&lt;2*$W$194+$W$195-2,-$W$196/2,$W$196/2)))/$W$193,NA())</f>
        <v>#N/A</v>
      </c>
      <c r="CH69" s="101" t="e">
        <f>IF(CF69&lt;$W$171,IF(CF69&lt;$W$194,-$W$197/2,IF(CF69&lt;2*$W$194,$W$197/2,IF(CF69&lt;2*$W$194+$W$195-2,-$W$197/2+(CF69-2*$W$194+1)*$W$197/($W$195-1),-$W$197/2+(CF69-2*$W$194-($W$195-2)+1)*$W$197/($W$195-1))))/$W$193,NA())</f>
        <v>#N/A</v>
      </c>
    </row>
    <row r="70">
      <c r="A70" s="98" t="inlineStr">
        <is>
          <t>Tension - Shear Interaction:</t>
        </is>
      </c>
      <c r="D70" s="106" t="inlineStr">
        <is>
          <t>Nua / φNn  +  Vua / φVn  ≤  1.2   (ACI §17.8)</t>
        </is>
      </c>
      <c r="E70" s="107" t="n"/>
      <c r="F70" s="107" t="n"/>
      <c r="G70" s="107" t="n"/>
      <c r="H70" s="107" t="n"/>
      <c r="I70" s="108" t="n"/>
      <c r="V70" t="inlineStr">
        <is>
          <t>hef'</t>
        </is>
      </c>
      <c r="W70" s="109">
        <f>IF($W$67&gt;=3,MIN($W$47,MAX($W$68/1.5,$W$69/3)),$W$47)</f>
        <v>43.3333333333333</v>
      </c>
      <c r="CA70" t="n">
        <v>30</v>
      </c>
      <c r="CB70" s="101">
        <f>2*$W$142*CA70/200</f>
        <v>24.0</v>
      </c>
      <c r="CC70" s="101">
        <f>0.447*$W$45*$W$143*MIN(0.8*CB70,$W$142)+SUMPRODUCT($BO$25:$BO$36,(ABS((2000000*0.003*(CB70-$BN$25:$BN$36)/CB70)+$W$146)-ABS((2000000*0.003*(CB70-$BN$25:$BN$36)/CB70)-$W$146))/2)-$W$139*1000</f>
        <v>68090.6651647322</v>
      </c>
      <c r="CD70" s="101">
        <f>(0.447*$W$45*$W$143*MIN(0.8*CB70,$W$142)*($W$142/2-MIN(0.8*CB70,$W$142)/2)+SUMPRODUCT($BO$25:$BO$36,(ABS((2000000*0.003*(CB70-$BN$25:$BN$36)/CB70)+$W$146)-ABS((2000000*0.003*(CB70-$BN$25:$BN$36)/CB70)-$W$146))/2,($W$142/2-$BN$25:$BN$36)))/100000</f>
        <v>67.7151272938812</v>
      </c>
      <c r="CE70" s="101">
        <f>IF(AND(CC69&lt;0,CC70&gt;=0),CA70,"")</f>
        <v/>
      </c>
      <c r="CF70" t="n">
        <v>45</v>
      </c>
      <c r="CG70" s="101" t="e">
        <f>IF(CF70&lt;$W$171,IF(CF70&lt;$W$194,-$W$196/2+CF70*$W$196/($W$194-1),IF(CF70&lt;2*$W$194,-$W$196/2+(CF70-$W$194)*$W$196/($W$194-1),IF(CF70&lt;2*$W$194+$W$195-2,-$W$196/2,$W$196/2)))/$W$193,NA())</f>
        <v>#N/A</v>
      </c>
      <c r="CH70" s="101" t="e">
        <f>IF(CF70&lt;$W$171,IF(CF70&lt;$W$194,-$W$197/2,IF(CF70&lt;2*$W$194,$W$197/2,IF(CF70&lt;2*$W$194+$W$195-2,-$W$197/2+(CF70-2*$W$194+1)*$W$197/($W$195-1),-$W$197/2+(CF70-2*$W$194-($W$195-2)+1)*$W$197/($W$195-1))))/$W$193,NA())</f>
        <v>#N/A</v>
      </c>
    </row>
    <row r="71">
      <c r="A71" s="61" t="inlineStr">
        <is>
          <t>Nua/φNn =</t>
        </is>
      </c>
      <c r="B71" s="104">
        <f>$W$188</f>
        <v>0.470319616569926</v>
      </c>
      <c r="D71" s="61" t="inlineStr">
        <is>
          <t>Vua/φVn =</t>
        </is>
      </c>
      <c r="E71" s="104">
        <f>$W$191</f>
        <v>0.353677651315323</v>
      </c>
      <c r="G71" s="97" t="inlineStr">
        <is>
          <t>governing mode (steel/concrete/rft)</t>
        </is>
      </c>
      <c r="V71" t="inlineStr">
        <is>
          <t>ANc</t>
        </is>
      </c>
      <c r="W71" s="109">
        <f>(MIN($W$63,1.5*$W$70)+$W$60-$W$59+MIN($W$64,1.5*$W$70))*(MIN($W$65,1.5*$W$70)+$W$62-$W$61+MIN($W$66,1.5*$W$70))</f>
        <v>4800.0</v>
      </c>
      <c r="CA71" t="n">
        <v>31</v>
      </c>
      <c r="CB71" s="101">
        <f>2*$W$142*CA71/200</f>
        <v>24.8</v>
      </c>
      <c r="CC71" s="101">
        <f>0.447*$W$45*$W$143*MIN(0.8*CB71,$W$142)+SUMPRODUCT($BO$25:$BO$36,(ABS((2000000*0.003*(CB71-$BN$25:$BN$36)/CB71)+$W$146)-ABS((2000000*0.003*(CB71-$BN$25:$BN$36)/CB71)-$W$146))/2)-$W$139*1000</f>
        <v>74114.8892824905</v>
      </c>
      <c r="CD71" s="101">
        <f>(0.447*$W$45*$W$143*MIN(0.8*CB71,$W$142)*($W$142/2-MIN(0.8*CB71,$W$142)/2)+SUMPRODUCT($BO$25:$BO$36,(ABS((2000000*0.003*(CB71-$BN$25:$BN$36)/CB71)+$W$146)-ABS((2000000*0.003*(CB71-$BN$25:$BN$36)/CB71)-$W$146))/2,($W$142/2-$BN$25:$BN$36)))/100000</f>
        <v>68.7955147210375</v>
      </c>
      <c r="CE71" s="101">
        <f>IF(AND(CC70&lt;0,CC71&gt;=0),CA71,"")</f>
        <v/>
      </c>
      <c r="CF71" t="n">
        <v>46</v>
      </c>
      <c r="CG71" s="101" t="e">
        <f>IF(CF71&lt;$W$171,IF(CF71&lt;$W$194,-$W$196/2+CF71*$W$196/($W$194-1),IF(CF71&lt;2*$W$194,-$W$196/2+(CF71-$W$194)*$W$196/($W$194-1),IF(CF71&lt;2*$W$194+$W$195-2,-$W$196/2,$W$196/2)))/$W$193,NA())</f>
        <v>#N/A</v>
      </c>
      <c r="CH71" s="101" t="e">
        <f>IF(CF71&lt;$W$171,IF(CF71&lt;$W$194,-$W$197/2,IF(CF71&lt;2*$W$194,$W$197/2,IF(CF71&lt;2*$W$194+$W$195-2,-$W$197/2+(CF71-2*$W$194+1)*$W$197/($W$195-1),-$W$197/2+(CF71-2*$W$194-($W$195-2)+1)*$W$197/($W$195-1))))/$W$193,NA())</f>
        <v>#N/A</v>
      </c>
    </row>
    <row r="72">
      <c r="A72" s="48" t="inlineStr">
        <is>
          <t>Sum =</t>
        </is>
      </c>
      <c r="C72" s="104">
        <f>$W$188+$W$191</f>
        <v>0.823997267885249</v>
      </c>
      <c r="E72" s="117" t="str">
        <f>IF(OR($W$188&lt;=0.2,$W$191&lt;=0.2),"one ratio ≤ 0.2",IF($W$188+$W$191&lt;=1.2,"&lt; 1.2","&gt; 1.2"))</f>
        <v>&lt; 1.2</v>
      </c>
      <c r="F72" s="118" t="str">
        <f>$W$192</f>
        <v>Safe</v>
      </c>
      <c r="V72" t="inlineStr">
        <is>
          <t>ANco</t>
        </is>
      </c>
      <c r="W72" s="109">
        <f>9*$W$70^2</f>
        <v>16900.0</v>
      </c>
      <c r="CA72" t="n">
        <v>32</v>
      </c>
      <c r="CB72" s="101">
        <f>2*$W$142*CA72/200</f>
        <v>25.6</v>
      </c>
      <c r="CC72" s="101">
        <f>0.447*$W$45*$W$143*MIN(0.8*CB72,$W$142)+SUMPRODUCT($BO$25:$BO$36,(ABS((2000000*0.003*(CB72-$BN$25:$BN$36)/CB72)+$W$146)-ABS((2000000*0.003*(CB72-$BN$25:$BN$36)/CB72)-$W$146))/2)-$W$139*1000</f>
        <v>80030.799392889</v>
      </c>
      <c r="CD72" s="101">
        <f>(0.447*$W$45*$W$143*MIN(0.8*CB72,$W$142)*($W$142/2-MIN(0.8*CB72,$W$142)/2)+SUMPRODUCT($BO$25:$BO$36,(ABS((2000000*0.003*(CB72-$BN$25:$BN$36)/CB72)+$W$146)-ABS((2000000*0.003*(CB72-$BN$25:$BN$36)/CB72)-$W$146))/2,($W$142/2-$BN$25:$BN$36)))/100000</f>
        <v>69.8358416139966</v>
      </c>
      <c r="CE72" s="101">
        <f>IF(AND(CC71&lt;0,CC72&gt;=0),CA72,"")</f>
        <v/>
      </c>
      <c r="CF72" t="n">
        <v>47</v>
      </c>
      <c r="CG72" s="101" t="e">
        <f>IF(CF72&lt;$W$171,IF(CF72&lt;$W$194,-$W$196/2+CF72*$W$196/($W$194-1),IF(CF72&lt;2*$W$194,-$W$196/2+(CF72-$W$194)*$W$196/($W$194-1),IF(CF72&lt;2*$W$194+$W$195-2,-$W$196/2,$W$196/2)))/$W$193,NA())</f>
        <v>#N/A</v>
      </c>
      <c r="CH72" s="101" t="e">
        <f>IF(CF72&lt;$W$171,IF(CF72&lt;$W$194,-$W$197/2,IF(CF72&lt;2*$W$194,$W$197/2,IF(CF72&lt;2*$W$194+$W$195-2,-$W$197/2+(CF72-2*$W$194+1)*$W$197/($W$195-1),-$W$197/2+(CF72-2*$W$194-($W$195-2)+1)*$W$197/($W$195-1))))/$W$193,NA())</f>
        <v>#N/A</v>
      </c>
    </row>
    <row r="73">
      <c r="V73" t="inlineStr">
        <is>
          <t>c min t</t>
        </is>
      </c>
      <c r="W73" s="109">
        <f>MIN($W$63,$W$64,$W$65,$W$66)</f>
        <v>15.0</v>
      </c>
      <c r="CA73" t="n">
        <v>33</v>
      </c>
      <c r="CB73" s="101">
        <f>2*$W$142*CA73/200</f>
        <v>26.4</v>
      </c>
      <c r="CC73" s="101">
        <f>0.447*$W$45*$W$143*MIN(0.8*CB73,$W$142)+SUMPRODUCT($BO$25:$BO$36,(ABS((2000000*0.003*(CB73-$BN$25:$BN$36)/CB73)+$W$146)-ABS((2000000*0.003*(CB73-$BN$25:$BN$36)/CB73)-$W$146))/2)-$W$139*1000</f>
        <v>85848.2422238693</v>
      </c>
      <c r="CD73" s="101">
        <f>(0.447*$W$45*$W$143*MIN(0.8*CB73,$W$142)*($W$142/2-MIN(0.8*CB73,$W$142)/2)+SUMPRODUCT($BO$25:$BO$36,(ABS((2000000*0.003*(CB73-$BN$25:$BN$36)/CB73)+$W$146)-ABS((2000000*0.003*(CB73-$BN$25:$BN$36)/CB73)-$W$146))/2,($W$142/2-$BN$25:$BN$36)))/100000</f>
        <v>70.8372531413217</v>
      </c>
      <c r="CE73" s="101">
        <f>IF(AND(CC72&lt;0,CC73&gt;=0),CA73,"")</f>
        <v/>
      </c>
      <c r="CF73" t="n">
        <v>48</v>
      </c>
      <c r="CG73" s="101" t="e">
        <f>IF(CF73&lt;$W$171,IF(CF73&lt;$W$194,-$W$196/2+CF73*$W$196/($W$194-1),IF(CF73&lt;2*$W$194,-$W$196/2+(CF73-$W$194)*$W$196/($W$194-1),IF(CF73&lt;2*$W$194+$W$195-2,-$W$196/2,$W$196/2)))/$W$193,NA())</f>
        <v>#N/A</v>
      </c>
      <c r="CH73" s="101" t="e">
        <f>IF(CF73&lt;$W$171,IF(CF73&lt;$W$194,-$W$197/2,IF(CF73&lt;2*$W$194,$W$197/2,IF(CF73&lt;2*$W$194+$W$195-2,-$W$197/2+(CF73-2*$W$194+1)*$W$197/($W$195-1),-$W$197/2+(CF73-2*$W$194-($W$195-2)+1)*$W$197/($W$195-1))))/$W$193,NA())</f>
        <v>#N/A</v>
      </c>
    </row>
    <row r="74">
      <c r="A74" s="98" t="inlineStr">
        <is>
          <t>Pedestal Section (N + M):</t>
        </is>
      </c>
      <c r="D74" s="106" t="inlineStr">
        <is>
          <t>Mus = Mu + Nu·(d − h/2)  ;  As = (0.447·fcu·b·a − Nu) / (fy/1.15)</t>
        </is>
      </c>
      <c r="E74" s="107" t="n"/>
      <c r="F74" s="107" t="n"/>
      <c r="G74" s="107" t="n"/>
      <c r="H74" s="107" t="n"/>
      <c r="I74" s="108" t="n"/>
      <c r="V74" t="inlineStr">
        <is>
          <t>psi ed</t>
        </is>
      </c>
      <c r="W74" s="109">
        <f>IF($W$73&gt;=1.5*$W$70,1,0.7+0.3*$W$73/(1.5*$W$70))</f>
        <v>0.769230769230769</v>
      </c>
      <c r="CA74" t="n">
        <v>34</v>
      </c>
      <c r="CB74" s="101">
        <f>2*$W$142*CA74/200</f>
        <v>27.2</v>
      </c>
      <c r="CC74" s="101">
        <f>0.447*$W$45*$W$143*MIN(0.8*CB74,$W$142)+SUMPRODUCT($BO$25:$BO$36,(ABS((2000000*0.003*(CB74-$BN$25:$BN$36)/CB74)+$W$146)-ABS((2000000*0.003*(CB74-$BN$25:$BN$36)/CB74)-$W$146))/2)-$W$139*1000</f>
        <v>91575.906064792</v>
      </c>
      <c r="CD74" s="101">
        <f>(0.447*$W$45*$W$143*MIN(0.8*CB74,$W$142)*($W$142/2-MIN(0.8*CB74,$W$142)/2)+SUMPRODUCT($BO$25:$BO$36,(ABS((2000000*0.003*(CB74-$BN$25:$BN$36)/CB74)+$W$146)-ABS((2000000*0.003*(CB74-$BN$25:$BN$36)/CB74)-$W$146))/2,($W$142/2-$BN$25:$BN$36)))/100000</f>
        <v>71.8007597458631</v>
      </c>
      <c r="CE74" s="101">
        <f>IF(AND(CC73&lt;0,CC74&gt;=0),CA74,"")</f>
        <v/>
      </c>
      <c r="CF74" t="n">
        <v>49</v>
      </c>
      <c r="CG74" s="101" t="e">
        <f>IF(CF74&lt;$W$171,IF(CF74&lt;$W$194,-$W$196/2+CF74*$W$196/($W$194-1),IF(CF74&lt;2*$W$194,-$W$196/2+(CF74-$W$194)*$W$196/($W$194-1),IF(CF74&lt;2*$W$194+$W$195-2,-$W$196/2,$W$196/2)))/$W$193,NA())</f>
        <v>#N/A</v>
      </c>
      <c r="CH74" s="101" t="e">
        <f>IF(CF74&lt;$W$171,IF(CF74&lt;$W$194,-$W$197/2,IF(CF74&lt;2*$W$194,$W$197/2,IF(CF74&lt;2*$W$194+$W$195-2,-$W$197/2+(CF74-2*$W$194+1)*$W$197/($W$195-1),-$W$197/2+(CF74-2*$W$194-($W$195-2)+1)*$W$197/($W$195-1))))/$W$193,NA())</f>
        <v>#N/A</v>
      </c>
    </row>
    <row r="75">
      <c r="A75" s="61" t="inlineStr">
        <is>
          <t>Nu =</t>
        </is>
      </c>
      <c r="B75" s="104">
        <f>IF($W$41,"-",$W$139)</f>
        <v>30.0</v>
      </c>
      <c r="C75" s="29" t="inlineStr">
        <is>
          <t>ton</t>
        </is>
      </c>
      <c r="D75" s="61" t="inlineStr">
        <is>
          <t>Mu base =</t>
        </is>
      </c>
      <c r="E75" s="104">
        <f>IF($W$41,"-",$W$141)</f>
        <v>18.75</v>
      </c>
      <c r="F75" s="29" t="inlineStr">
        <is>
          <t>t.m</t>
        </is>
      </c>
      <c r="G75" s="119" t="str">
        <f>IF($W$40,"× 1.5 ;  Mu = M + V·H","Mu = M + V·H")</f>
        <v>× 1.5 ;  Mu = M + V·H</v>
      </c>
      <c r="V75" t="inlineStr">
        <is>
          <t>e'N x</t>
        </is>
      </c>
      <c r="W75" s="109">
        <f>IF($W$56&gt;0,ABS(SUM($AC$25:$AC$36)/$W$57-AVERAGE($AA$25:$AA$36)),0)</f>
        <v>0.0</v>
      </c>
      <c r="CA75" t="n">
        <v>35</v>
      </c>
      <c r="CB75" s="101">
        <f>2*$W$142*CA75/200</f>
        <v>28.0</v>
      </c>
      <c r="CC75" s="101">
        <f>0.447*$W$45*$W$143*MIN(0.8*CB75,$W$142)+SUMPRODUCT($BO$25:$BO$36,(ABS((2000000*0.003*(CB75-$BN$25:$BN$36)/CB75)+$W$146)-ABS((2000000*0.003*(CB75-$BN$25:$BN$36)/CB75)-$W$146))/2)-$W$139*1000</f>
        <v>97221.4862576619</v>
      </c>
      <c r="CD75" s="101">
        <f>(0.447*$W$45*$W$143*MIN(0.8*CB75,$W$142)*($W$142/2-MIN(0.8*CB75,$W$142)/2)+SUMPRODUCT($BO$25:$BO$36,(ABS((2000000*0.003*(CB75-$BN$25:$BN$36)/CB75)+$W$146)-ABS((2000000*0.003*(CB75-$BN$25:$BN$36)/CB75)-$W$146))/2,($W$142/2-$BN$25:$BN$36)))/100000</f>
        <v>72.7272563912877</v>
      </c>
      <c r="CE75" s="101">
        <f>IF(AND(CC74&lt;0,CC75&gt;=0),CA75,"")</f>
        <v/>
      </c>
      <c r="CF75" t="n">
        <v>50</v>
      </c>
      <c r="CG75" s="101" t="e">
        <f>IF(CF75&lt;$W$171,IF(CF75&lt;$W$194,-$W$196/2+CF75*$W$196/($W$194-1),IF(CF75&lt;2*$W$194,-$W$196/2+(CF75-$W$194)*$W$196/($W$194-1),IF(CF75&lt;2*$W$194+$W$195-2,-$W$196/2,$W$196/2)))/$W$193,NA())</f>
        <v>#N/A</v>
      </c>
      <c r="CH75" s="101" t="e">
        <f>IF(CF75&lt;$W$171,IF(CF75&lt;$W$194,-$W$197/2,IF(CF75&lt;2*$W$194,$W$197/2,IF(CF75&lt;2*$W$194+$W$195-2,-$W$197/2+(CF75-2*$W$194+1)*$W$197/($W$195-1),-$W$197/2+(CF75-2*$W$194-($W$195-2)+1)*$W$197/($W$195-1))))/$W$193,NA())</f>
        <v>#N/A</v>
      </c>
    </row>
    <row r="76">
      <c r="A76" s="61" t="inlineStr">
        <is>
          <t>h × b =</t>
        </is>
      </c>
      <c r="B76" s="157" t="str">
        <f>$W$142&amp;" × "&amp;$W$143</f>
        <v>80 × 60</v>
      </c>
      <c r="C76" s="29" t="inlineStr">
        <is>
          <t>cm</t>
        </is>
      </c>
      <c r="D76" s="61" t="inlineStr">
        <is>
          <t>d =</t>
        </is>
      </c>
      <c r="E76" s="103">
        <f>$W$145</f>
        <v>73.2</v>
      </c>
      <c r="F76" s="29" t="inlineStr">
        <is>
          <t>cm</t>
        </is>
      </c>
      <c r="G76" s="97" t="inlineStr">
        <is>
          <t>h along the moment</t>
        </is>
      </c>
      <c r="V76" t="inlineStr">
        <is>
          <t>e'N y</t>
        </is>
      </c>
      <c r="W76" s="109">
        <f>IF($W$56&gt;0,ABS(SUM($AD$25:$AD$36)/$W$57-AVERAGE($AB$25:$AB$36)),0)</f>
        <v>0.0</v>
      </c>
      <c r="CA76" t="n">
        <v>36</v>
      </c>
      <c r="CB76" s="101">
        <f>2*$W$142*CA76/200</f>
        <v>28.8</v>
      </c>
      <c r="CC76" s="101">
        <f>0.447*$W$45*$W$143*MIN(0.8*CB76,$W$142)+SUMPRODUCT($BO$25:$BO$36,(ABS((2000000*0.003*(CB76-$BN$25:$BN$36)/CB76)+$W$146)-ABS((2000000*0.003*(CB76-$BN$25:$BN$36)/CB76)-$W$146))/2)-$W$139*1000</f>
        <v>102791.823106484</v>
      </c>
      <c r="CD76" s="101">
        <f>(0.447*$W$45*$W$143*MIN(0.8*CB76,$W$142)*($W$142/2-MIN(0.8*CB76,$W$142)/2)+SUMPRODUCT($BO$25:$BO$36,(ABS((2000000*0.003*(CB76-$BN$25:$BN$36)/CB76)+$W$146)-ABS((2000000*0.003*(CB76-$BN$25:$BN$36)/CB76)-$W$146))/2,($W$142/2-$BN$25:$BN$36)))/100000</f>
        <v>73.6175386008555</v>
      </c>
      <c r="CE76" s="101">
        <f>IF(AND(CC75&lt;0,CC76&gt;=0),CA76,"")</f>
        <v/>
      </c>
      <c r="CF76" t="n">
        <v>51</v>
      </c>
      <c r="CG76" s="101" t="e">
        <f>IF(CF76&lt;$W$171,IF(CF76&lt;$W$194,-$W$196/2+CF76*$W$196/($W$194-1),IF(CF76&lt;2*$W$194,-$W$196/2+(CF76-$W$194)*$W$196/($W$194-1),IF(CF76&lt;2*$W$194+$W$195-2,-$W$196/2,$W$196/2)))/$W$193,NA())</f>
        <v>#N/A</v>
      </c>
      <c r="CH76" s="101" t="e">
        <f>IF(CF76&lt;$W$171,IF(CF76&lt;$W$194,-$W$197/2,IF(CF76&lt;2*$W$194,$W$197/2,IF(CF76&lt;2*$W$194+$W$195-2,-$W$197/2+(CF76-2*$W$194+1)*$W$197/($W$195-1),-$W$197/2+(CF76-2*$W$194-($W$195-2)+1)*$W$197/($W$195-1))))/$W$193,NA())</f>
        <v>#N/A</v>
      </c>
    </row>
    <row r="77">
      <c r="A77" s="48" t="inlineStr">
        <is>
          <t>As req / face =</t>
        </is>
      </c>
      <c r="C77" s="104">
        <f>IF(OR(NOT($W$51),$W$41),"-",IF($W$150&gt;=999,"section small",$W$150))</f>
        <v>3.49081619487811</v>
      </c>
      <c r="D77" s="29" t="inlineStr">
        <is>
          <t>cm2</t>
        </is>
      </c>
      <c r="E77" s="61" t="inlineStr">
        <is>
          <t>As min =</t>
        </is>
      </c>
      <c r="F77" s="103">
        <f>$W$151</f>
        <v>38.4</v>
      </c>
      <c r="G77" s="29" t="inlineStr">
        <is>
          <t>cm2</t>
        </is>
      </c>
      <c r="H77" s="97" t="inlineStr">
        <is>
          <t>0.8%·Bx·By</t>
        </is>
      </c>
      <c r="V77" t="inlineStr">
        <is>
          <t>psi ec</t>
        </is>
      </c>
      <c r="W77" s="109">
        <f>1/(1+$W$75/(1.5*$W$70))/(1+$W$76/(1.5*$W$70))</f>
        <v>1.0</v>
      </c>
      <c r="CA77" t="n">
        <v>37</v>
      </c>
      <c r="CB77" s="101">
        <f>2*$W$142*CA77/200</f>
        <v>29.6</v>
      </c>
      <c r="CC77" s="101">
        <f>0.447*$W$45*$W$143*MIN(0.8*CB77,$W$142)+SUMPRODUCT($BO$25:$BO$36,(ABS((2000000*0.003*(CB77-$BN$25:$BN$36)/CB77)+$W$146)-ABS((2000000*0.003*(CB77-$BN$25:$BN$36)/CB77)-$W$146))/2)-$W$139*1000</f>
        <v>108293.017422936</v>
      </c>
      <c r="CD77" s="101">
        <f>(0.447*$W$45*$W$143*MIN(0.8*CB77,$W$142)*($W$142/2-MIN(0.8*CB77,$W$142)/2)+SUMPRODUCT($BO$25:$BO$36,(ABS((2000000*0.003*(CB77-$BN$25:$BN$36)/CB77)+$W$146)-ABS((2000000*0.003*(CB77-$BN$25:$BN$36)/CB77)-$W$146))/2,($W$142/2-$BN$25:$BN$36)))/100000</f>
        <v>74.4723158953114</v>
      </c>
      <c r="CE77" s="101">
        <f>IF(AND(CC76&lt;0,CC77&gt;=0),CA77,"")</f>
        <v/>
      </c>
      <c r="CF77" t="n">
        <v>52</v>
      </c>
      <c r="CG77" s="101" t="e">
        <f>IF(CF77&lt;$W$171,IF(CF77&lt;$W$194,-$W$196/2+CF77*$W$196/($W$194-1),IF(CF77&lt;2*$W$194,-$W$196/2+(CF77-$W$194)*$W$196/($W$194-1),IF(CF77&lt;2*$W$194+$W$195-2,-$W$196/2,$W$196/2)))/$W$193,NA())</f>
        <v>#N/A</v>
      </c>
      <c r="CH77" s="101" t="e">
        <f>IF(CF77&lt;$W$171,IF(CF77&lt;$W$194,-$W$197/2,IF(CF77&lt;2*$W$194,$W$197/2,IF(CF77&lt;2*$W$194+$W$195-2,-$W$197/2+(CF77-2*$W$194+1)*$W$197/($W$195-1),-$W$197/2+(CF77-2*$W$194-($W$195-2)+1)*$W$197/($W$195-1))))/$W$193,NA())</f>
        <v>#N/A</v>
      </c>
    </row>
    <row r="78">
      <c r="A78" s="48" t="inlineStr">
        <is>
          <t>Mr (strain comp.) =</t>
        </is>
      </c>
      <c r="C78" s="104">
        <f>IF($W$175="N/A","-",$W$174)</f>
        <v>52.1453730862742</v>
      </c>
      <c r="D78" s="29" t="inlineStr">
        <is>
          <t>t.m</t>
        </is>
      </c>
      <c r="E78" s="117" t="str">
        <f>IF($W$175="N/A","-",IF(N($W$174)&gt;=$W$141,"&gt; ","&lt; ")&amp;TEXT($W$141,"0.00"))</f>
        <v>&gt; 18.75</v>
      </c>
      <c r="F78" s="118" t="str">
        <f>$W$175</f>
        <v>Safe</v>
      </c>
      <c r="G78" s="97" t="inlineStr">
        <is>
          <t>εcu=0.003, 0.447fcu, fy/1.15</t>
        </is>
      </c>
      <c r="V78" t="inlineStr">
        <is>
          <t>Nb kN</t>
        </is>
      </c>
      <c r="W78" s="109">
        <f>10*SQRT($W$46)*($W$70*10)^1.5/1000</f>
        <v>399.43678576748</v>
      </c>
      <c r="CA78" t="n">
        <v>38</v>
      </c>
      <c r="CB78" s="101">
        <f>2*$W$142*CA78/200</f>
        <v>30.4</v>
      </c>
      <c r="CC78" s="101">
        <f>0.447*$W$45*$W$143*MIN(0.8*CB78,$W$142)+SUMPRODUCT($BO$25:$BO$36,(ABS((2000000*0.003*(CB78-$BN$25:$BN$36)/CB78)+$W$146)-ABS((2000000*0.003*(CB78-$BN$25:$BN$36)/CB78)-$W$146))/2)-$W$139*1000</f>
        <v>113730.527827997</v>
      </c>
      <c r="CD78" s="101">
        <f>(0.447*$W$45*$W$143*MIN(0.8*CB78,$W$142)*($W$142/2-MIN(0.8*CB78,$W$142)/2)+SUMPRODUCT($BO$25:$BO$36,(ABS((2000000*0.003*(CB78-$BN$25:$BN$36)/CB78)+$W$146)-ABS((2000000*0.003*(CB78-$BN$25:$BN$36)/CB78)-$W$146))/2,($W$142/2-$BN$25:$BN$36)))/100000</f>
        <v>75.2922231090066</v>
      </c>
      <c r="CE78" s="101">
        <f>IF(AND(CC77&lt;0,CC78&gt;=0),CA78,"")</f>
        <v/>
      </c>
      <c r="CF78" t="n">
        <v>53</v>
      </c>
      <c r="CG78" s="101" t="e">
        <f>IF(CF78&lt;$W$171,IF(CF78&lt;$W$194,-$W$196/2+CF78*$W$196/($W$194-1),IF(CF78&lt;2*$W$194,-$W$196/2+(CF78-$W$194)*$W$196/($W$194-1),IF(CF78&lt;2*$W$194+$W$195-2,-$W$196/2,$W$196/2)))/$W$193,NA())</f>
        <v>#N/A</v>
      </c>
      <c r="CH78" s="101" t="e">
        <f>IF(CF78&lt;$W$171,IF(CF78&lt;$W$194,-$W$197/2,IF(CF78&lt;2*$W$194,$W$197/2,IF(CF78&lt;2*$W$194+$W$195-2,-$W$197/2+(CF78-2*$W$194+1)*$W$197/($W$195-1),-$W$197/2+(CF78-2*$W$194-($W$195-2)+1)*$W$197/($W$195-1))))/$W$193,NA())</f>
        <v>#N/A</v>
      </c>
    </row>
    <row r="79">
      <c r="A79" s="48" t="inlineStr">
        <is>
          <t>Axial capacity =</t>
        </is>
      </c>
      <c r="C79" s="103">
        <f>IF($W$139&gt;=0,$W$176,$W$177)</f>
        <v>516.99227494987</v>
      </c>
      <c r="D79" s="29" t="inlineStr">
        <is>
          <t>ton</t>
        </is>
      </c>
      <c r="E79" s="117" t="str">
        <f>IF($W$41,"-",IF($W$139&gt;=0,"&gt; ","&gt; ")&amp;TEXT(ABS($W$139),"0.0"))</f>
        <v>&gt; 30.0</v>
      </c>
      <c r="F79" s="118" t="str">
        <f>$W$178</f>
        <v>Safe</v>
      </c>
      <c r="G79" s="119" t="str">
        <f>IF($W$139&gt;=0,"0.35fcu·Ac + 0.67fy·As","As·fy/1.15 (tension)")</f>
        <v>0.35fcu·Ac + 0.67fy·As</v>
      </c>
      <c r="V79" t="inlineStr">
        <is>
          <t>Ncbg kN</t>
        </is>
      </c>
      <c r="W79" s="109">
        <f>MIN($W$71/$W$72,MAX(1,$W$56))*$W$74*$W$77*$W$78</f>
        <v>87.268847140824</v>
      </c>
      <c r="CA79" t="n">
        <v>39</v>
      </c>
      <c r="CB79" s="101">
        <f>2*$W$142*CA79/200</f>
        <v>31.2</v>
      </c>
      <c r="CC79" s="101">
        <f>0.447*$W$45*$W$143*MIN(0.8*CB79,$W$142)+SUMPRODUCT($BO$25:$BO$36,(ABS((2000000*0.003*(CB79-$BN$25:$BN$36)/CB79)+$W$146)-ABS((2000000*0.003*(CB79-$BN$25:$BN$36)/CB79)-$W$146))/2)-$W$139*1000</f>
        <v>119757.492884602</v>
      </c>
      <c r="CD79" s="101">
        <f>(0.447*$W$45*$W$143*MIN(0.8*CB79,$W$142)*($W$142/2-MIN(0.8*CB79,$W$142)/2)+SUMPRODUCT($BO$25:$BO$36,(ABS((2000000*0.003*(CB79-$BN$25:$BN$36)/CB79)+$W$146)-ABS((2000000*0.003*(CB79-$BN$25:$BN$36)/CB79)-$W$146))/2,($W$142/2-$BN$25:$BN$36)))/100000</f>
        <v>76.0347868423217</v>
      </c>
      <c r="CE79" s="101">
        <f>IF(AND(CC78&lt;0,CC79&gt;=0),CA79,"")</f>
        <v/>
      </c>
      <c r="CF79" t="n">
        <v>54</v>
      </c>
      <c r="CG79" s="101" t="e">
        <f>IF(CF79&lt;$W$171,IF(CF79&lt;$W$194,-$W$196/2+CF79*$W$196/($W$194-1),IF(CF79&lt;2*$W$194,-$W$196/2+(CF79-$W$194)*$W$196/($W$194-1),IF(CF79&lt;2*$W$194+$W$195-2,-$W$196/2,$W$196/2)))/$W$193,NA())</f>
        <v>#N/A</v>
      </c>
      <c r="CH79" s="101" t="e">
        <f>IF(CF79&lt;$W$171,IF(CF79&lt;$W$194,-$W$197/2,IF(CF79&lt;2*$W$194,$W$197/2,IF(CF79&lt;2*$W$194+$W$195-2,-$W$197/2+(CF79-2*$W$194+1)*$W$197/($W$195-1),-$W$197/2+(CF79-2*$W$194-($W$195-2)+1)*$W$197/($W$195-1))))/$W$193,NA())</f>
        <v>#N/A</v>
      </c>
    </row>
    <row r="80">
      <c r="A80" s="48" t="inlineStr">
        <is>
          <t>Shear qu =</t>
        </is>
      </c>
      <c r="C80" s="104">
        <f>$W$180</f>
        <v>1.08001286207936</v>
      </c>
      <c r="D80" s="29" t="inlineStr">
        <is>
          <t>kg/cm2</t>
        </is>
      </c>
      <c r="E80" s="117" t="str">
        <f>IF($W$180&lt;=$W$181,"&lt; ","&gt; ")&amp;TEXT($W$181,"0.0")</f>
        <v>&lt; 9.9</v>
      </c>
      <c r="F80" s="118" t="str">
        <f>$W$182</f>
        <v>Safe</v>
      </c>
      <c r="G80" s="97" t="inlineStr">
        <is>
          <t>qcu = 0.24·√(fcu/1.5)</t>
        </is>
      </c>
      <c r="V80" t="inlineStr">
        <is>
          <t>cap T kN</t>
        </is>
      </c>
      <c r="W80" s="109">
        <f>$W$52*$W$79/$W$53</f>
        <v>43.634423570412</v>
      </c>
      <c r="CA80" t="n">
        <v>40</v>
      </c>
      <c r="CB80" s="101">
        <f>2*$W$142*CA80/200</f>
        <v>32.0</v>
      </c>
      <c r="CC80" s="101">
        <f>0.447*$W$45*$W$143*MIN(0.8*CB80,$W$142)+SUMPRODUCT($BO$25:$BO$36,(ABS((2000000*0.003*(CB80-$BN$25:$BN$36)/CB80)+$W$146)-ABS((2000000*0.003*(CB80-$BN$25:$BN$36)/CB80)-$W$146))/2)-$W$139*1000</f>
        <v>125983.527301656</v>
      </c>
      <c r="CD80" s="101">
        <f>(0.447*$W$45*$W$143*MIN(0.8*CB80,$W$142)*($W$142/2-MIN(0.8*CB80,$W$142)/2)+SUMPRODUCT($BO$25:$BO$36,(ABS((2000000*0.003*(CB80-$BN$25:$BN$36)/CB80)+$W$146)-ABS((2000000*0.003*(CB80-$BN$25:$BN$36)/CB80)-$W$146))/2,($W$142/2-$BN$25:$BN$36)))/100000</f>
        <v>76.7267341794493</v>
      </c>
      <c r="CE80" s="101">
        <f>IF(AND(CC79&lt;0,CC80&gt;=0),CA80,"")</f>
        <v/>
      </c>
      <c r="CF80" t="n">
        <v>55</v>
      </c>
      <c r="CG80" s="101" t="e">
        <f>IF(CF80&lt;$W$171,IF(CF80&lt;$W$194,-$W$196/2+CF80*$W$196/($W$194-1),IF(CF80&lt;2*$W$194,-$W$196/2+(CF80-$W$194)*$W$196/($W$194-1),IF(CF80&lt;2*$W$194+$W$195-2,-$W$196/2,$W$196/2)))/$W$193,NA())</f>
        <v>#N/A</v>
      </c>
      <c r="CH80" s="101" t="e">
        <f>IF(CF80&lt;$W$171,IF(CF80&lt;$W$194,-$W$197/2,IF(CF80&lt;2*$W$194,$W$197/2,IF(CF80&lt;2*$W$194+$W$195-2,-$W$197/2+(CF80-2*$W$194+1)*$W$197/($W$195-1),-$W$197/2+(CF80-2*$W$194-($W$195-2)+1)*$W$197/($W$195-1))))/$W$193,NA())</f>
        <v>#N/A</v>
      </c>
    </row>
    <row r="81">
      <c r="V81" t="inlineStr">
        <is>
          <t>dem T kN</t>
        </is>
      </c>
      <c r="W81" s="109">
        <f>$W$57*9.81</f>
        <v>87.3044484833153</v>
      </c>
      <c r="CA81" t="n">
        <v>41</v>
      </c>
      <c r="CB81" s="101">
        <f>2*$W$142*CA81/200</f>
        <v>32.8</v>
      </c>
      <c r="CC81" s="101">
        <f>0.447*$W$45*$W$143*MIN(0.8*CB81,$W$142)+SUMPRODUCT($BO$25:$BO$36,(ABS((2000000*0.003*(CB81-$BN$25:$BN$36)/CB81)+$W$146)-ABS((2000000*0.003*(CB81-$BN$25:$BN$36)/CB81)-$W$146))/2)-$W$139*1000</f>
        <v>132115.179552024</v>
      </c>
      <c r="CD81" s="101">
        <f>(0.447*$W$45*$W$143*MIN(0.8*CB81,$W$142)*($W$142/2-MIN(0.8*CB81,$W$142)/2)+SUMPRODUCT($BO$25:$BO$36,(ABS((2000000*0.003*(CB81-$BN$25:$BN$36)/CB81)+$W$146)-ABS((2000000*0.003*(CB81-$BN$25:$BN$36)/CB81)-$W$146))/2,($W$142/2-$BN$25:$BN$36)))/100000</f>
        <v>77.3882772172048</v>
      </c>
      <c r="CE81" s="101">
        <f>IF(AND(CC80&lt;0,CC81&gt;=0),CA81,"")</f>
        <v/>
      </c>
      <c r="CF81" t="n">
        <v>56</v>
      </c>
      <c r="CG81" s="101" t="e">
        <f>IF(CF81&lt;$W$171,IF(CF81&lt;$W$194,-$W$196/2+CF81*$W$196/($W$194-1),IF(CF81&lt;2*$W$194,-$W$196/2+(CF81-$W$194)*$W$196/($W$194-1),IF(CF81&lt;2*$W$194+$W$195-2,-$W$196/2,$W$196/2)))/$W$193,NA())</f>
        <v>#N/A</v>
      </c>
      <c r="CH81" s="101" t="e">
        <f>IF(CF81&lt;$W$171,IF(CF81&lt;$W$194,-$W$197/2,IF(CF81&lt;2*$W$194,$W$197/2,IF(CF81&lt;2*$W$194+$W$195-2,-$W$197/2+(CF81-2*$W$194+1)*$W$197/($W$195-1),-$W$197/2+(CF81-2*$W$194-($W$195-2)+1)*$W$197/($W$195-1))))/$W$193,NA())</f>
        <v>#N/A</v>
      </c>
    </row>
    <row r="82">
      <c r="A82" s="98" t="inlineStr">
        <is>
          <t>Reinforcement Details:</t>
        </is>
      </c>
      <c r="D82" s="106" t="inlineStr">
        <is>
          <t>As anchor = Tu / (0.75 · fy)   (ACI §17.5.2.1)</t>
        </is>
      </c>
      <c r="E82" s="107" t="n"/>
      <c r="F82" s="107" t="n"/>
      <c r="G82" s="107" t="n"/>
      <c r="H82" s="107" t="n"/>
      <c r="I82" s="108" t="n"/>
      <c r="V82" t="inlineStr">
        <is>
          <t>status T</t>
        </is>
      </c>
      <c r="W82" s="109" t="str">
        <f>IF($W$56=0,"N/A",IF($W$80&gt;=$W$81,"Safe",IF($W$51,"By Rft.","Un-Safe")))</f>
        <v>By Rft.</v>
      </c>
      <c r="CA82" t="n">
        <v>42</v>
      </c>
      <c r="CB82" s="101">
        <f>2*$W$142*CA82/200</f>
        <v>33.6</v>
      </c>
      <c r="CC82" s="101">
        <f>0.447*$W$45*$W$143*MIN(0.8*CB82,$W$142)+SUMPRODUCT($BO$25:$BO$36,(ABS((2000000*0.003*(CB82-$BN$25:$BN$36)/CB82)+$W$146)-ABS((2000000*0.003*(CB82-$BN$25:$BN$36)/CB82)-$W$146))/2)-$W$139*1000</f>
        <v>138159.191219041</v>
      </c>
      <c r="CD82" s="101">
        <f>(0.447*$W$45*$W$143*MIN(0.8*CB82,$W$142)*($W$142/2-MIN(0.8*CB82,$W$142)/2)+SUMPRODUCT($BO$25:$BO$36,(ABS((2000000*0.003*(CB82-$BN$25:$BN$36)/CB82)+$W$146)-ABS((2000000*0.003*(CB82-$BN$25:$BN$36)/CB82)-$W$146))/2,($W$142/2-$BN$25:$BN$36)))/100000</f>
        <v>78.0196259998291</v>
      </c>
      <c r="CE82" s="101">
        <f>IF(AND(CC81&lt;0,CC82&gt;=0),CA82,"")</f>
        <v/>
      </c>
      <c r="CF82" t="n">
        <v>57</v>
      </c>
      <c r="CG82" s="101" t="e">
        <f>IF(CF82&lt;$W$171,IF(CF82&lt;$W$194,-$W$196/2+CF82*$W$196/($W$194-1),IF(CF82&lt;2*$W$194,-$W$196/2+(CF82-$W$194)*$W$196/($W$194-1),IF(CF82&lt;2*$W$194+$W$195-2,-$W$196/2,$W$196/2)))/$W$193,NA())</f>
        <v>#N/A</v>
      </c>
      <c r="CH82" s="101" t="e">
        <f>IF(CF82&lt;$W$171,IF(CF82&lt;$W$194,-$W$197/2,IF(CF82&lt;2*$W$194,$W$197/2,IF(CF82&lt;2*$W$194+$W$195-2,-$W$197/2+(CF82-2*$W$194+1)*$W$197/($W$195-1),-$W$197/2+(CF82-2*$W$194-($W$195-2)+1)*$W$197/($W$195-1))))/$W$193,NA())</f>
        <v>#N/A</v>
      </c>
    </row>
    <row r="83">
      <c r="A83" s="61" t="inlineStr">
        <is>
          <t>Tu max =</t>
        </is>
      </c>
      <c r="B83" s="104">
        <f>$W$165</f>
        <v>6.67465202471829</v>
      </c>
      <c r="C83" s="29" t="inlineStr">
        <is>
          <t>ton</t>
        </is>
      </c>
      <c r="D83" s="61" t="inlineStr">
        <is>
          <t>As / bolt =</t>
        </is>
      </c>
      <c r="E83" s="104">
        <f>IF($W$167&gt;0,$W$166,"-")</f>
        <v>2.47209334248826</v>
      </c>
      <c r="F83" s="29" t="inlineStr">
        <is>
          <t>cm2</t>
        </is>
      </c>
      <c r="G83" s="119" t="str">
        <f>IF($W$40,"Tu = 1.5 × (T+Q)","Tu = T+Q")</f>
        <v>Tu = 1.5 × (T+Q)</v>
      </c>
      <c r="V83" t="inlineStr">
        <is>
          <t>side-face bolts</t>
        </is>
      </c>
      <c r="W83" s="120">
        <f>COUNTIF($AI$25:$AI$36,TRUE)</f>
        <v>2.0</v>
      </c>
      <c r="CA83" t="n">
        <v>43</v>
      </c>
      <c r="CB83" s="101">
        <f>2*$W$142*CA83/200</f>
        <v>34.4</v>
      </c>
      <c r="CC83" s="101">
        <f>0.447*$W$45*$W$143*MIN(0.8*CB83,$W$142)+SUMPRODUCT($BO$25:$BO$36,(ABS((2000000*0.003*(CB83-$BN$25:$BN$36)/CB83)+$W$146)-ABS((2000000*0.003*(CB83-$BN$25:$BN$36)/CB83)-$W$146))/2)-$W$139*1000</f>
        <v>144121.676762012</v>
      </c>
      <c r="CD83" s="101">
        <f>(0.447*$W$45*$W$143*MIN(0.8*CB83,$W$142)*($W$142/2-MIN(0.8*CB83,$W$142)/2)+SUMPRODUCT($BO$25:$BO$36,(ABS((2000000*0.003*(CB83-$BN$25:$BN$36)/CB83)+$W$146)-ABS((2000000*0.003*(CB83-$BN$25:$BN$36)/CB83)-$W$146))/2,($W$142/2-$BN$25:$BN$36)))/100000</f>
        <v>78.6209710325639</v>
      </c>
      <c r="CE83" s="101">
        <f>IF(AND(CC82&lt;0,CC83&gt;=0),CA83,"")</f>
        <v/>
      </c>
      <c r="CF83" t="n">
        <v>58</v>
      </c>
      <c r="CG83" s="101" t="e">
        <f>IF(CF83&lt;$W$171,IF(CF83&lt;$W$194,-$W$196/2+CF83*$W$196/($W$194-1),IF(CF83&lt;2*$W$194,-$W$196/2+(CF83-$W$194)*$W$196/($W$194-1),IF(CF83&lt;2*$W$194+$W$195-2,-$W$196/2,$W$196/2)))/$W$193,NA())</f>
        <v>#N/A</v>
      </c>
      <c r="CH83" s="101" t="e">
        <f>IF(CF83&lt;$W$171,IF(CF83&lt;$W$194,-$W$197/2,IF(CF83&lt;2*$W$194,$W$197/2,IF(CF83&lt;2*$W$194+$W$195-2,-$W$197/2+(CF83-2*$W$194+1)*$W$197/($W$195-1),-$W$197/2+(CF83-2*$W$194-($W$195-2)+1)*$W$197/($W$195-1))))/$W$193,NA())</f>
        <v>#N/A</v>
      </c>
    </row>
    <row r="84">
      <c r="A84" s="48" t="inlineStr">
        <is>
          <t>Bars / bolt =</t>
        </is>
      </c>
      <c r="C84" s="159" t="str">
        <f>IF(NOT($W$51),"-",IF($W$167&gt;0,$W$167&amp;" Ø"&amp;$F$9&amp;" around each tension bolt (within 0.5 hef)","not required - concrete carries the tension"))</f>
        <v>3 Ø16 around each tension bolt (within 0.5 hef)</v>
      </c>
      <c r="V84" t="inlineStr">
        <is>
          <t>worst ratio</t>
        </is>
      </c>
      <c r="W84" s="109">
        <f>IF($W$83&gt;0,MAX($AL$25:$AL$36),0)</f>
        <v>0.263720427126077</v>
      </c>
      <c r="CA84" t="n">
        <v>44</v>
      </c>
      <c r="CB84" s="101">
        <f>2*$W$142*CA84/200</f>
        <v>35.2</v>
      </c>
      <c r="CC84" s="101">
        <f>0.447*$W$45*$W$143*MIN(0.8*CB84,$W$142)+SUMPRODUCT($BO$25:$BO$36,(ABS((2000000*0.003*(CB84-$BN$25:$BN$36)/CB84)+$W$146)-ABS((2000000*0.003*(CB84-$BN$25:$BN$36)/CB84)-$W$146))/2)-$W$139*1000</f>
        <v>150008.194780301</v>
      </c>
      <c r="CD84" s="101">
        <f>(0.447*$W$45*$W$143*MIN(0.8*CB84,$W$142)*($W$142/2-MIN(0.8*CB84,$W$142)/2)+SUMPRODUCT($BO$25:$BO$36,(ABS((2000000*0.003*(CB84-$BN$25:$BN$36)/CB84)+$W$146)-ABS((2000000*0.003*(CB84-$BN$25:$BN$36)/CB84)-$W$146))/2,($W$142/2-$BN$25:$BN$36)))/100000</f>
        <v>79.1924855019926</v>
      </c>
      <c r="CE84" s="101">
        <f>IF(AND(CC83&lt;0,CC84&gt;=0),CA84,"")</f>
        <v/>
      </c>
      <c r="CF84" t="n">
        <v>59</v>
      </c>
      <c r="CG84" s="101" t="e">
        <f>IF(CF84&lt;$W$171,IF(CF84&lt;$W$194,-$W$196/2+CF84*$W$196/($W$194-1),IF(CF84&lt;2*$W$194,-$W$196/2+(CF84-$W$194)*$W$196/($W$194-1),IF(CF84&lt;2*$W$194+$W$195-2,-$W$196/2,$W$196/2)))/$W$193,NA())</f>
        <v>#N/A</v>
      </c>
      <c r="CH84" s="101" t="e">
        <f>IF(CF84&lt;$W$171,IF(CF84&lt;$W$194,-$W$197/2,IF(CF84&lt;2*$W$194,$W$197/2,IF(CF84&lt;2*$W$194+$W$195-2,-$W$197/2+(CF84-2*$W$194+1)*$W$197/($W$195-1),-$W$197/2+(CF84-2*$W$194-($W$195-2)+1)*$W$197/($W$195-1))))/$W$193,NA())</f>
        <v>#N/A</v>
      </c>
    </row>
    <row r="85">
      <c r="A85" s="48" t="inlineStr">
        <is>
          <t>Main bars =</t>
        </is>
      </c>
      <c r="C85" s="160" t="str">
        <f>IF(NOT($W$51),"plain pedestal",$W$171&amp;" Ø"&amp;$F$9&amp;"   ( "&amp;$W$169&amp;" on each face ⊥ M  +  "&amp;$W$170&amp;" on each side )   As = "&amp;TEXT($W$172,"0.0")&amp;" cm²")</f>
        <v>20 Ø16   ( 6 on each face ⊥ M  +  4 on each side )   As = 40.2 cm²</v>
      </c>
      <c r="V85" t="inlineStr">
        <is>
          <t>worst bolt</t>
        </is>
      </c>
      <c r="W85" s="120">
        <f>IF($W$83&gt;0,MATCH($W$84,$AL$25:$AL$36,0),0)</f>
        <v>1.0</v>
      </c>
      <c r="CA85" t="n">
        <v>45</v>
      </c>
      <c r="CB85" s="101">
        <f>2*$W$142*CA85/200</f>
        <v>36.0</v>
      </c>
      <c r="CC85" s="101">
        <f>0.447*$W$45*$W$143*MIN(0.8*CB85,$W$142)+SUMPRODUCT($BO$25:$BO$36,(ABS((2000000*0.003*(CB85-$BN$25:$BN$36)/CB85)+$W$146)-ABS((2000000*0.003*(CB85-$BN$25:$BN$36)/CB85)-$W$146))/2)-$W$139*1000</f>
        <v>155823.809775556</v>
      </c>
      <c r="CD85" s="101">
        <f>(0.447*$W$45*$W$143*MIN(0.8*CB85,$W$142)*($W$142/2-MIN(0.8*CB85,$W$142)/2)+SUMPRODUCT($BO$25:$BO$36,(ABS((2000000*0.003*(CB85-$BN$25:$BN$36)/CB85)+$W$146)-ABS((2000000*0.003*(CB85-$BN$25:$BN$36)/CB85)-$W$146))/2,($W$142/2-$BN$25:$BN$36)))/100000</f>
        <v>79.7343272003356</v>
      </c>
      <c r="CE85" s="101">
        <f>IF(AND(CC84&lt;0,CC85&gt;=0),CA85,"")</f>
        <v/>
      </c>
    </row>
    <row r="86">
      <c r="A86" s="48" t="inlineStr">
        <is>
          <t>Dev. length ld =</t>
        </is>
      </c>
      <c r="C86" s="105">
        <f>IF($W$51,$W$185,"-")</f>
        <v>60.7278778656065</v>
      </c>
      <c r="D86" s="29" t="inlineStr">
        <is>
          <t>cm</t>
        </is>
      </c>
      <c r="E86" s="61" t="inlineStr">
        <is>
          <t>Bar L =</t>
        </is>
      </c>
      <c r="F86" s="105">
        <f>IF($W$51,$W$186,"-")</f>
        <v>185.0</v>
      </c>
      <c r="G86" s="29" t="inlineStr">
        <is>
          <t>cm</t>
        </is>
      </c>
      <c r="H86" s="97" t="inlineStr">
        <is>
          <t>hef + ld</t>
        </is>
      </c>
      <c r="V86" t="inlineStr">
        <is>
          <t>ca1</t>
        </is>
      </c>
      <c r="W86" s="109">
        <f>IF($W$83&gt;0,INDEX($AG$25:$AG$36,$W$85),MIN($AG$25:$AG$36))</f>
        <v>15.0</v>
      </c>
      <c r="CA86" t="n">
        <v>46</v>
      </c>
      <c r="CB86" s="101">
        <f>2*$W$142*CA86/200</f>
        <v>36.8</v>
      </c>
      <c r="CC86" s="101">
        <f>0.447*$W$45*$W$143*MIN(0.8*CB86,$W$142)+SUMPRODUCT($BO$25:$BO$36,(ABS((2000000*0.003*(CB86-$BN$25:$BN$36)/CB86)+$W$146)-ABS((2000000*0.003*(CB86-$BN$25:$BN$36)/CB86)-$W$146))/2)-$W$139*1000</f>
        <v>161573.145857973</v>
      </c>
      <c r="CD86" s="101">
        <f>(0.447*$W$45*$W$143*MIN(0.8*CB86,$W$142)*($W$142/2-MIN(0.8*CB86,$W$142)/2)+SUMPRODUCT($BO$25:$BO$36,(ABS((2000000*0.003*(CB86-$BN$25:$BN$36)/CB86)+$W$146)-ABS((2000000*0.003*(CB86-$BN$25:$BN$36)/CB86)-$W$146))/2,($W$142/2-$BN$25:$BN$36)))/100000</f>
        <v>80.2466401987506</v>
      </c>
      <c r="CE86" s="101">
        <f>IF(AND(CC85&lt;0,CC86&gt;=0),CA86,"")</f>
        <v/>
      </c>
    </row>
    <row r="87">
      <c r="A87" s="97" t="inlineStr">
        <is>
          <t>ld = fy·db / (2.1·√f'c)  (Ø ≤ 20, 1.7 for larger) ≥ 30 cm  -  bars hooked at the top, developed below the bolt head</t>
        </is>
      </c>
      <c r="V87" t="inlineStr">
        <is>
          <t>ca2</t>
        </is>
      </c>
      <c r="W87" s="109">
        <f>IF($W$83&gt;0,INDEX($AH$25:$AH$36,$W$85),"")</f>
        <v>20.0</v>
      </c>
      <c r="CA87" t="n">
        <v>47</v>
      </c>
      <c r="CB87" s="101">
        <f>2*$W$142*CA87/200</f>
        <v>37.6</v>
      </c>
      <c r="CC87" s="101">
        <f>0.447*$W$45*$W$143*MIN(0.8*CB87,$W$142)+SUMPRODUCT($BO$25:$BO$36,(ABS((2000000*0.003*(CB87-$BN$25:$BN$36)/CB87)+$W$146)-ABS((2000000*0.003*(CB87-$BN$25:$BN$36)/CB87)-$W$146))/2)-$W$139*1000</f>
        <v>167260.433596458</v>
      </c>
      <c r="CD87" s="101">
        <f>(0.447*$W$45*$W$143*MIN(0.8*CB87,$W$142)*($W$142/2-MIN(0.8*CB87,$W$142)/2)+SUMPRODUCT($BO$25:$BO$36,(ABS((2000000*0.003*(CB87-$BN$25:$BN$36)/CB87)+$W$146)-ABS((2000000*0.003*(CB87-$BN$25:$BN$36)/CB87)-$W$146))/2,($W$142/2-$BN$25:$BN$36)))/100000</f>
        <v>80.7295563070203</v>
      </c>
      <c r="CE87" s="101">
        <f>IF(AND(CC86&lt;0,CC87&gt;=0),CA87,"")</f>
        <v/>
      </c>
    </row>
    <row r="88">
      <c r="A88" s="48" t="inlineStr">
        <is>
          <t>Top ties =</t>
        </is>
      </c>
      <c r="C88" s="159" t="str">
        <f>IF(NOT($W$51),"-",$W$183&amp;" Ø"&amp;$F$10&amp;" closed ties around the bolts, top "&amp;IF($W$183&gt;3,5*($W$183-1)+5,12.5)&amp;" cm"&amp;IF($W$155&gt;0,"  (shear As = "&amp;TEXT($W$155,"0.00")&amp;" cm²)",""))</f>
        <v>3 Ø10 closed ties around the bolts, top 12.5 cm  (shear As = 1.67 cm²)</v>
      </c>
      <c r="V88" t="inlineStr">
        <is>
          <t>cap kN</t>
        </is>
      </c>
      <c r="W88" s="109">
        <f>IF($W$83&gt;0,INDEX($AK$25:$AK$36,$W$85),"")</f>
        <v>165.524622864306</v>
      </c>
      <c r="CA88" t="n">
        <v>48</v>
      </c>
      <c r="CB88" s="101">
        <f>2*$W$142*CA88/200</f>
        <v>38.4</v>
      </c>
      <c r="CC88" s="101">
        <f>0.447*$W$45*$W$143*MIN(0.8*CB88,$W$142)+SUMPRODUCT($BO$25:$BO$36,(ABS((2000000*0.003*(CB88-$BN$25:$BN$36)/CB88)+$W$146)-ABS((2000000*0.003*(CB88-$BN$25:$BN$36)/CB88)-$W$146))/2)-$W$139*1000</f>
        <v>172889.551012506</v>
      </c>
      <c r="CD88" s="101">
        <f>(0.447*$W$45*$W$143*MIN(0.8*CB88,$W$142)*($W$142/2-MIN(0.8*CB88,$W$142)/2)+SUMPRODUCT($BO$25:$BO$36,(ABS((2000000*0.003*(CB88-$BN$25:$BN$36)/CB88)+$W$146)-ABS((2000000*0.003*(CB88-$BN$25:$BN$36)/CB88)-$W$146))/2,($W$142/2-$BN$25:$BN$36)))/100000</f>
        <v>81.1831963507787</v>
      </c>
      <c r="CE88" s="101">
        <f>IF(AND(CC87&lt;0,CC88&gt;=0),CA88,"")</f>
        <v/>
      </c>
    </row>
    <row r="89">
      <c r="A89" s="48" t="inlineStr">
        <is>
          <t>Body ties =</t>
        </is>
      </c>
      <c r="C89" s="159" t="str">
        <f>IF(NOT($W$51),"-","Ø"&amp;$F$10&amp;" @ "&amp;$W$184&amp;" cm   (≤ 15 cm , 12 Ø)")</f>
        <v>Ø10 @ 15 cm   (≤ 15 cm , 12 Ø)</v>
      </c>
      <c r="V89" t="inlineStr">
        <is>
          <t>dem kN</t>
        </is>
      </c>
      <c r="W89" s="109">
        <f>IF($W$83&gt;0,INDEX($Y$25:$Y$36,$W$85)*9.81,"")</f>
        <v>43.6522242416576</v>
      </c>
      <c r="CA89" t="n">
        <v>49</v>
      </c>
      <c r="CB89" s="101">
        <f>2*$W$142*CA89/200</f>
        <v>39.2</v>
      </c>
      <c r="CC89" s="101">
        <f>0.447*$W$45*$W$143*MIN(0.8*CB89,$W$142)+SUMPRODUCT($BO$25:$BO$36,(ABS((2000000*0.003*(CB89-$BN$25:$BN$36)/CB89)+$W$146)-ABS((2000000*0.003*(CB89-$BN$25:$BN$36)/CB89)-$W$146))/2)-$W$139*1000</f>
        <v>178464.05955443</v>
      </c>
      <c r="CD89" s="101">
        <f>(0.447*$W$45*$W$143*MIN(0.8*CB89,$W$142)*($W$142/2-MIN(0.8*CB89,$W$142)/2)+SUMPRODUCT($BO$25:$BO$36,(ABS((2000000*0.003*(CB89-$BN$25:$BN$36)/CB89)+$W$146)-ABS((2000000*0.003*(CB89-$BN$25:$BN$36)/CB89)-$W$146))/2,($W$142/2-$BN$25:$BN$36)))/100000</f>
        <v>81.6076712923429</v>
      </c>
      <c r="CE89" s="101">
        <f>IF(AND(CC88&lt;0,CC89&gt;=0),CA89,"")</f>
        <v/>
      </c>
    </row>
    <row r="90">
      <c r="A90" s="97" t="inlineStr">
        <is>
          <t>top ties: As = Vu / (0.75·fy), 2 legs per tie, at least 3 Ø10 / 2 Ø12 within the top 12.5 cm (ACI §17.7.2.5 , §10.7.6.1.6)</t>
        </is>
      </c>
      <c r="V90" t="inlineStr">
        <is>
          <t>status S</t>
        </is>
      </c>
      <c r="W90" s="109" t="str">
        <f>IF($W$83&gt;0,IF($W$84&lt;=1,"Safe","Un-Safe"),"N/A")</f>
        <v>Safe</v>
      </c>
      <c r="CA90" t="n">
        <v>50</v>
      </c>
      <c r="CB90" s="101">
        <f>2*$W$142*CA90/200</f>
        <v>40.0</v>
      </c>
      <c r="CC90" s="101">
        <f>0.447*$W$45*$W$143*MIN(0.8*CB90,$W$142)+SUMPRODUCT($BO$25:$BO$36,(ABS((2000000*0.003*(CB90-$BN$25:$BN$36)/CB90)+$W$146)-ABS((2000000*0.003*(CB90-$BN$25:$BN$36)/CB90)-$W$146))/2)-$W$139*1000</f>
        <v>184560.0</v>
      </c>
      <c r="CD90" s="101">
        <f>(0.447*$W$45*$W$143*MIN(0.8*CB90,$W$142)*($W$142/2-MIN(0.8*CB90,$W$142)/2)+SUMPRODUCT($BO$25:$BO$36,(ABS((2000000*0.003*(CB90-$BN$25:$BN$36)/CB90)+$W$146)-ABS((2000000*0.003*(CB90-$BN$25:$BN$36)/CB90)-$W$146))/2,($W$142/2-$BN$25:$BN$36)))/100000</f>
        <v>81.8889885793761</v>
      </c>
      <c r="CE90" s="101">
        <f>IF(AND(CC89&lt;0,CC90&gt;=0),CA90,"")</f>
        <v/>
      </c>
    </row>
    <row r="91">
      <c r="V91" t="inlineStr">
        <is>
          <t>x min</t>
        </is>
      </c>
      <c r="W91" s="109">
        <f>MIN($BB$25:$BB$36)</f>
        <v>-25.0</v>
      </c>
      <c r="CA91" t="n">
        <v>51</v>
      </c>
      <c r="CB91" s="101">
        <f>2*$W$142*CA91/200</f>
        <v>40.8</v>
      </c>
      <c r="CC91" s="101">
        <f>0.447*$W$45*$W$143*MIN(0.8*CB91,$W$142)+SUMPRODUCT($BO$25:$BO$36,(ABS((2000000*0.003*(CB91-$BN$25:$BN$36)/CB91)+$W$146)-ABS((2000000*0.003*(CB91-$BN$25:$BN$36)/CB91)-$W$146))/2)-$W$139*1000</f>
        <v>190743.547574868</v>
      </c>
      <c r="CD91" s="101">
        <f>(0.447*$W$45*$W$143*MIN(0.8*CB91,$W$142)*($W$142/2-MIN(0.8*CB91,$W$142)/2)+SUMPRODUCT($BO$25:$BO$36,(ABS((2000000*0.003*(CB91-$BN$25:$BN$36)/CB91)+$W$146)-ABS((2000000*0.003*(CB91-$BN$25:$BN$36)/CB91)-$W$146))/2,($W$142/2-$BN$25:$BN$36)))/100000</f>
        <v>82.11426167983</v>
      </c>
      <c r="CE91" s="101">
        <f>IF(AND(CC90&lt;0,CC91&gt;=0),CA91,"")</f>
        <v/>
      </c>
    </row>
    <row r="92" ht="30" customHeight="1" s="16">
      <c r="A92" s="115" t="str">
        <f>IF(NOT($W$51),IF(F11="Safe","PLAIN PEDESTAL OK - concrete satisfies all anchorage checks.","PLAIN PEDESTAL NOT OK - set Pedestal = Reinforced or enlarge the pedestal / hef."),"REINFORCEMENT:  "&amp;$W$171&amp;" Ø"&amp;$F$9&amp;"  ( L ≥ "&amp;$W$186&amp;" cm )   |   "&amp;IF($W$167&gt;0,$W$167&amp;" Ø"&amp;$F$9&amp;" around each tension bolt   |   ","")&amp;"top ties "&amp;$W$183&amp;" Ø"&amp;$F$10&amp;"   |   ties Ø"&amp;$F$10&amp;" @ "&amp;$W$184&amp;" cm")</f>
        <v>REINFORCEMENT:  20 Ø16  ( L ≥ 185 cm )   |   3 Ø16 around each tension bolt   |   top ties 3 Ø10   |   ties Ø10 @ 15 cm</v>
      </c>
      <c r="V92" t="inlineStr">
        <is>
          <t>x max</t>
        </is>
      </c>
      <c r="W92" s="109">
        <f>MAX($BB$25:$BB$36)</f>
        <v>25.0</v>
      </c>
      <c r="CA92" t="n">
        <v>52</v>
      </c>
      <c r="CB92" s="101">
        <f>2*$W$142*CA92/200</f>
        <v>41.6</v>
      </c>
      <c r="CC92" s="101">
        <f>0.447*$W$45*$W$143*MIN(0.8*CB92,$W$142)+SUMPRODUCT($BO$25:$BO$36,(ABS((2000000*0.003*(CB92-$BN$25:$BN$36)/CB92)+$W$146)-ABS((2000000*0.003*(CB92-$BN$25:$BN$36)/CB92)-$W$146))/2)-$W$139*1000</f>
        <v>196854.312550703</v>
      </c>
      <c r="CD92" s="101">
        <f>(0.447*$W$45*$W$143*MIN(0.8*CB92,$W$142)*($W$142/2-MIN(0.8*CB92,$W$142)/2)+SUMPRODUCT($BO$25:$BO$36,(ABS((2000000*0.003*(CB92-$BN$25:$BN$36)/CB92)+$W$146)-ABS((2000000*0.003*(CB92-$BN$25:$BN$36)/CB92)-$W$146))/2,($W$142/2-$BN$25:$BN$36)))/100000</f>
        <v>82.3160822948818</v>
      </c>
      <c r="CE92" s="101">
        <f>IF(AND(CC91&lt;0,CC92&gt;=0),CA92,"")</f>
        <v/>
      </c>
    </row>
    <row r="93">
      <c r="A93" s="123" t="inlineStr">
        <is>
          <t>Notes: design aid only - the responsible engineer must verify all results. See sheet "Notes".</t>
        </is>
      </c>
      <c r="V93" t="inlineStr">
        <is>
          <t>y min</t>
        </is>
      </c>
      <c r="W93" s="109">
        <f>MIN($BC$25:$BC$36)</f>
        <v>-10.0</v>
      </c>
      <c r="CA93" t="n">
        <v>53</v>
      </c>
      <c r="CB93" s="101">
        <f>2*$W$142*CA93/200</f>
        <v>42.4</v>
      </c>
      <c r="CC93" s="101">
        <f>0.447*$W$45*$W$143*MIN(0.8*CB93,$W$142)+SUMPRODUCT($BO$25:$BO$36,(ABS((2000000*0.003*(CB93-$BN$25:$BN$36)/CB93)+$W$146)-ABS((2000000*0.003*(CB93-$BN$25:$BN$36)/CB93)-$W$146))/2)-$W$139*1000</f>
        <v>202783.595698078</v>
      </c>
      <c r="CD93" s="101">
        <f>(0.447*$W$45*$W$143*MIN(0.8*CB93,$W$142)*($W$142/2-MIN(0.8*CB93,$W$142)/2)+SUMPRODUCT($BO$25:$BO$36,(ABS((2000000*0.003*(CB93-$BN$25:$BN$36)/CB93)+$W$146)-ABS((2000000*0.003*(CB93-$BN$25:$BN$36)/CB93)-$W$146))/2,($W$142/2-$BN$25:$BN$36)))/100000</f>
        <v>82.4717498311435</v>
      </c>
      <c r="CE93" s="101">
        <f>IF(AND(CC92&lt;0,CC93&gt;=0),CA93,"")</f>
        <v/>
      </c>
    </row>
    <row r="94">
      <c r="V94" t="inlineStr">
        <is>
          <t>y max</t>
        </is>
      </c>
      <c r="W94" s="109">
        <f>MAX($BC$25:$BC$36)</f>
        <v>10.0</v>
      </c>
      <c r="CA94" t="n">
        <v>54</v>
      </c>
      <c r="CB94" s="101">
        <f>2*$W$142*CA94/200</f>
        <v>43.2</v>
      </c>
      <c r="CC94" s="101">
        <f>0.447*$W$45*$W$143*MIN(0.8*CB94,$W$142)+SUMPRODUCT($BO$25:$BO$36,(ABS((2000000*0.003*(CB94-$BN$25:$BN$36)/CB94)+$W$146)-ABS((2000000*0.003*(CB94-$BN$25:$BN$36)/CB94)-$W$146))/2)-$W$139*1000</f>
        <v>208549.249850163</v>
      </c>
      <c r="CD94" s="101">
        <f>(0.447*$W$45*$W$143*MIN(0.8*CB94,$W$142)*($W$142/2-MIN(0.8*CB94,$W$142)/2)+SUMPRODUCT($BO$25:$BO$36,(ABS((2000000*0.003*(CB94-$BN$25:$BN$36)/CB94)+$W$146)-ABS((2000000*0.003*(CB94-$BN$25:$BN$36)/CB94)-$W$146))/2,($W$142/2-$BN$25:$BN$36)))/100000</f>
        <v>82.5838504740135</v>
      </c>
      <c r="CE94" s="101">
        <f>IF(AND(CC93&lt;0,CC94&gt;=0),CA94,"")</f>
        <v/>
      </c>
    </row>
    <row r="95">
      <c r="V95" t="inlineStr">
        <is>
          <t>c left a</t>
        </is>
      </c>
      <c r="W95" s="109">
        <f>$W$43/2+$W$91</f>
        <v>15.0</v>
      </c>
      <c r="CA95" t="n">
        <v>55</v>
      </c>
      <c r="CB95" s="101">
        <f>2*$W$142*CA95/200</f>
        <v>44.0</v>
      </c>
      <c r="CC95" s="101">
        <f>0.447*$W$45*$W$143*MIN(0.8*CB95,$W$142)+SUMPRODUCT($BO$25:$BO$36,(ABS((2000000*0.003*(CB95-$BN$25:$BN$36)/CB95)+$W$146)-ABS((2000000*0.003*(CB95-$BN$25:$BN$36)/CB95)-$W$146))/2)-$W$139*1000</f>
        <v>214261.287487627</v>
      </c>
      <c r="CD95" s="101">
        <f>(0.447*$W$45*$W$143*MIN(0.8*CB95,$W$142)*($W$142/2-MIN(0.8*CB95,$W$142)/2)+SUMPRODUCT($BO$25:$BO$36,(ABS((2000000*0.003*(CB95-$BN$25:$BN$36)/CB95)+$W$146)-ABS((2000000*0.003*(CB95-$BN$25:$BN$36)/CB95)-$W$146))/2,($W$142/2-$BN$25:$BN$36)))/100000</f>
        <v>82.6733991633246</v>
      </c>
      <c r="CE95" s="101">
        <f>IF(AND(CC94&lt;0,CC95&gt;=0),CA95,"")</f>
        <v/>
      </c>
    </row>
    <row r="96">
      <c r="V96" t="inlineStr">
        <is>
          <t>c right a</t>
        </is>
      </c>
      <c r="W96" s="109">
        <f>$W$43/2-$W$92</f>
        <v>15.0</v>
      </c>
      <c r="CA96" t="n">
        <v>56</v>
      </c>
      <c r="CB96" s="101">
        <f>2*$W$142*CA96/200</f>
        <v>44.8</v>
      </c>
      <c r="CC96" s="101">
        <f>0.447*$W$45*$W$143*MIN(0.8*CB96,$W$142)+SUMPRODUCT($BO$25:$BO$36,(ABS((2000000*0.003*(CB96-$BN$25:$BN$36)/CB96)+$W$146)-ABS((2000000*0.003*(CB96-$BN$25:$BN$36)/CB96)-$W$146))/2)-$W$139*1000</f>
        <v>219922.580923752</v>
      </c>
      <c r="CD96" s="101">
        <f>(0.447*$W$45*$W$143*MIN(0.8*CB96,$W$142)*($W$142/2-MIN(0.8*CB96,$W$142)/2)+SUMPRODUCT($BO$25:$BO$36,(ABS((2000000*0.003*(CB96-$BN$25:$BN$36)/CB96)+$W$146)-ABS((2000000*0.003*(CB96-$BN$25:$BN$36)/CB96)-$W$146))/2,($W$142/2-$BN$25:$BN$36)))/100000</f>
        <v>82.7401327708746</v>
      </c>
      <c r="CE96" s="101">
        <f>IF(AND(CC95&lt;0,CC96&gt;=0),CA96,"")</f>
        <v/>
      </c>
    </row>
    <row r="97">
      <c r="V97" t="inlineStr">
        <is>
          <t>c bottom a</t>
        </is>
      </c>
      <c r="W97" s="109">
        <f>$W$44/2+$W$93</f>
        <v>20.0</v>
      </c>
      <c r="CA97" t="n">
        <v>57</v>
      </c>
      <c r="CB97" s="101">
        <f>2*$W$142*CA97/200</f>
        <v>45.6</v>
      </c>
      <c r="CC97" s="101">
        <f>0.447*$W$45*$W$143*MIN(0.8*CB97,$W$142)+SUMPRODUCT($BO$25:$BO$36,(ABS((2000000*0.003*(CB97-$BN$25:$BN$36)/CB97)+$W$146)-ABS((2000000*0.003*(CB97-$BN$25:$BN$36)/CB97)-$W$146))/2)-$W$139*1000</f>
        <v>225535.800905979</v>
      </c>
      <c r="CD97" s="101">
        <f>(0.447*$W$45*$W$143*MIN(0.8*CB97,$W$142)*($W$142/2-MIN(0.8*CB97,$W$142)/2)+SUMPRODUCT($BO$25:$BO$36,(ABS((2000000*0.003*(CB97-$BN$25:$BN$36)/CB97)+$W$146)-ABS((2000000*0.003*(CB97-$BN$25:$BN$36)/CB97)-$W$146))/2,($W$142/2-$BN$25:$BN$36)))/100000</f>
        <v>82.7838066335984</v>
      </c>
      <c r="CE97" s="101">
        <f>IF(AND(CC96&lt;0,CC97&gt;=0),CA97,"")</f>
        <v/>
      </c>
    </row>
    <row r="98">
      <c r="V98" t="inlineStr">
        <is>
          <t>c top a</t>
        </is>
      </c>
      <c r="W98" s="109">
        <f>$W$44/2-$W$94</f>
        <v>20.0</v>
      </c>
      <c r="CA98" t="n">
        <v>58</v>
      </c>
      <c r="CB98" s="101">
        <f>2*$W$142*CA98/200</f>
        <v>46.4</v>
      </c>
      <c r="CC98" s="101">
        <f>0.447*$W$45*$W$143*MIN(0.8*CB98,$W$142)+SUMPRODUCT($BO$25:$BO$36,(ABS((2000000*0.003*(CB98-$BN$25:$BN$36)/CB98)+$W$146)-ABS((2000000*0.003*(CB98-$BN$25:$BN$36)/CB98)-$W$146))/2)-$W$139*1000</f>
        <v>231103.433992266</v>
      </c>
      <c r="CD98" s="101">
        <f>(0.447*$W$45*$W$143*MIN(0.8*CB98,$W$142)*($W$142/2-MIN(0.8*CB98,$W$142)/2)+SUMPRODUCT($BO$25:$BO$36,(ABS((2000000*0.003*(CB98-$BN$25:$BN$36)/CB98)+$W$146)-ABS((2000000*0.003*(CB98-$BN$25:$BN$36)/CB98)-$W$146))/2,($W$142/2-$BN$25:$BN$36)))/100000</f>
        <v>82.8041929617454</v>
      </c>
      <c r="CE98" s="101">
        <f>IF(AND(CC97&lt;0,CC98&gt;=0),CA98,"")</f>
        <v/>
      </c>
    </row>
    <row r="99">
      <c r="V99" t="inlineStr">
        <is>
          <t>faces a</t>
        </is>
      </c>
      <c r="W99" s="120">
        <f>($W$95&lt;1.5*$W$47)+($W$96&lt;1.5*$W$47)+($W$97&lt;1.5*$W$47)+($W$98&lt;1.5*$W$47)</f>
        <v>4.0</v>
      </c>
      <c r="CA99" t="n">
        <v>59</v>
      </c>
      <c r="CB99" s="101">
        <f>2*$W$142*CA99/200</f>
        <v>47.2</v>
      </c>
      <c r="CC99" s="101">
        <f>0.447*$W$45*$W$143*MIN(0.8*CB99,$W$142)+SUMPRODUCT($BO$25:$BO$36,(ABS((2000000*0.003*(CB99-$BN$25:$BN$36)/CB99)+$W$146)-ABS((2000000*0.003*(CB99-$BN$25:$BN$36)/CB99)-$W$146))/2)-$W$139*1000</f>
        <v>236627.798160375</v>
      </c>
      <c r="CD99" s="101">
        <f>(0.447*$W$45*$W$143*MIN(0.8*CB99,$W$142)*($W$142/2-MIN(0.8*CB99,$W$142)/2)+SUMPRODUCT($BO$25:$BO$36,(ABS((2000000*0.003*(CB99-$BN$25:$BN$36)/CB99)+$W$146)-ABS((2000000*0.003*(CB99-$BN$25:$BN$36)/CB99)-$W$146))/2,($W$142/2-$BN$25:$BN$36)))/100000</f>
        <v>82.8010794089382</v>
      </c>
      <c r="CE99" s="101">
        <f>IF(AND(CC98&lt;0,CC99&gt;=0),CA99,"")</f>
        <v/>
      </c>
    </row>
    <row r="100">
      <c r="V100" t="inlineStr">
        <is>
          <t>ca,max a</t>
        </is>
      </c>
      <c r="W100" s="109">
        <f>MAX(IF($W$95&lt;1.5*$W$47,$W$95,0),IF($W$96&lt;1.5*$W$47,$W$96,0),IF($W$97&lt;1.5*$W$47,$W$97,0),IF($W$98&lt;1.5*$W$47,$W$98,0))</f>
        <v>20.0</v>
      </c>
      <c r="CA100" t="n">
        <v>60</v>
      </c>
      <c r="CB100" s="101">
        <f>2*$W$142*CA100/200</f>
        <v>48.0</v>
      </c>
      <c r="CC100" s="101">
        <f>0.447*$W$45*$W$143*MIN(0.8*CB100,$W$142)+SUMPRODUCT($BO$25:$BO$36,(ABS((2000000*0.003*(CB100-$BN$25:$BN$36)/CB100)+$W$146)-ABS((2000000*0.003*(CB100-$BN$25:$BN$36)/CB100)-$W$146))/2)-$W$139*1000</f>
        <v>242111.056856213</v>
      </c>
      <c r="CD100" s="101">
        <f>(0.447*$W$45*$W$143*MIN(0.8*CB100,$W$142)*($W$142/2-MIN(0.8*CB100,$W$142)/2)+SUMPRODUCT($BO$25:$BO$36,(ABS((2000000*0.003*(CB100-$BN$25:$BN$36)/CB100)+$W$146)-ABS((2000000*0.003*(CB100-$BN$25:$BN$36)/CB100)-$W$146))/2,($W$142/2-$BN$25:$BN$36)))/100000</f>
        <v>82.7742677852247</v>
      </c>
      <c r="CE100" s="101">
        <f>IF(AND(CC99&lt;0,CC100&gt;=0),CA100,"")</f>
        <v/>
      </c>
    </row>
    <row r="101">
      <c r="V101" t="inlineStr">
        <is>
          <t>s max a</t>
        </is>
      </c>
      <c r="W101" s="109">
        <f>IF($W$55&gt;1,MAX('1-Base Plate'!$BA$37:$BL$48),0)</f>
        <v>53.851648071345</v>
      </c>
      <c r="CA101" t="n">
        <v>61</v>
      </c>
      <c r="CB101" s="101">
        <f>2*$W$142*CA101/200</f>
        <v>48.8</v>
      </c>
      <c r="CC101" s="101">
        <f>0.447*$W$45*$W$143*MIN(0.8*CB101,$W$142)+SUMPRODUCT($BO$25:$BO$36,(ABS((2000000*0.003*(CB101-$BN$25:$BN$36)/CB101)+$W$146)-ABS((2000000*0.003*(CB101-$BN$25:$BN$36)/CB101)-$W$146))/2)-$W$139*1000</f>
        <v>249128.759806878</v>
      </c>
      <c r="CD101" s="101">
        <f>(0.447*$W$45*$W$143*MIN(0.8*CB101,$W$142)*($W$142/2-MIN(0.8*CB101,$W$142)/2)+SUMPRODUCT($BO$25:$BO$36,(ABS((2000000*0.003*(CB101-$BN$25:$BN$36)/CB101)+$W$146)-ABS((2000000*0.003*(CB101-$BN$25:$BN$36)/CB101)-$W$146))/2,($W$142/2-$BN$25:$BN$36)))/100000</f>
        <v>82.201161552079</v>
      </c>
      <c r="CE101" s="101">
        <f>IF(AND(CC100&lt;0,CC101&gt;=0),CA101,"")</f>
        <v/>
      </c>
    </row>
    <row r="102">
      <c r="V102" t="inlineStr">
        <is>
          <t>hef' a</t>
        </is>
      </c>
      <c r="W102" s="109">
        <f>IF($W$99&gt;=3,MIN($W$47,MAX($W$100/1.5,$W$101/3)),$W$47)</f>
        <v>17.950549357115</v>
      </c>
      <c r="CA102" t="n">
        <v>62</v>
      </c>
      <c r="CB102" s="101">
        <f>2*$W$142*CA102/200</f>
        <v>49.6</v>
      </c>
      <c r="CC102" s="101">
        <f>0.447*$W$45*$W$143*MIN(0.8*CB102,$W$142)+SUMPRODUCT($BO$25:$BO$36,(ABS((2000000*0.003*(CB102-$BN$25:$BN$36)/CB102)+$W$146)-ABS((2000000*0.003*(CB102-$BN$25:$BN$36)/CB102)-$W$146))/2)-$W$139*1000</f>
        <v>256286.926425561</v>
      </c>
      <c r="CD102" s="101">
        <f>(0.447*$W$45*$W$143*MIN(0.8*CB102,$W$142)*($W$142/2-MIN(0.8*CB102,$W$142)/2)+SUMPRODUCT($BO$25:$BO$36,(ABS((2000000*0.003*(CB102-$BN$25:$BN$36)/CB102)+$W$146)-ABS((2000000*0.003*(CB102-$BN$25:$BN$36)/CB102)-$W$146))/2,($W$142/2-$BN$25:$BN$36)))/100000</f>
        <v>81.5450168822327</v>
      </c>
      <c r="CE102" s="101">
        <f>IF(AND(CC101&lt;0,CC102&gt;=0),CA102,"")</f>
        <v/>
      </c>
    </row>
    <row r="103">
      <c r="V103" t="inlineStr">
        <is>
          <t>ANc a</t>
        </is>
      </c>
      <c r="W103" s="109">
        <f>(MIN($W$95,1.5*$W$102)+$W$92-$W$91+MIN($W$96,1.5*$W$102))*(MIN($W$97,1.5*$W$102)+$W$94-$W$93+MIN($W$98,1.5*$W$102))</f>
        <v>4800.0</v>
      </c>
      <c r="CA103" t="n">
        <v>63</v>
      </c>
      <c r="CB103" s="101">
        <f>2*$W$142*CA103/200</f>
        <v>50.4</v>
      </c>
      <c r="CC103" s="101">
        <f>0.447*$W$45*$W$143*MIN(0.8*CB103,$W$142)+SUMPRODUCT($BO$25:$BO$36,(ABS((2000000*0.003*(CB103-$BN$25:$BN$36)/CB103)+$W$146)-ABS((2000000*0.003*(CB103-$BN$25:$BN$36)/CB103)-$W$146))/2)-$W$139*1000</f>
        <v>263354.078230952</v>
      </c>
      <c r="CD103" s="101">
        <f>(0.447*$W$45*$W$143*MIN(0.8*CB103,$W$142)*($W$142/2-MIN(0.8*CB103,$W$142)/2)+SUMPRODUCT($BO$25:$BO$36,(ABS((2000000*0.003*(CB103-$BN$25:$BN$36)/CB103)+$W$146)-ABS((2000000*0.003*(CB103-$BN$25:$BN$36)/CB103)-$W$146))/2,($W$142/2-$BN$25:$BN$36)))/100000</f>
        <v>80.8831103847626</v>
      </c>
      <c r="CE103" s="101">
        <f>IF(AND(CC102&lt;0,CC103&gt;=0),CA103,"")</f>
        <v/>
      </c>
    </row>
    <row r="104">
      <c r="V104" t="inlineStr">
        <is>
          <t>ANco a</t>
        </is>
      </c>
      <c r="W104" s="109">
        <f>9*$W$102^2</f>
        <v>2900.0</v>
      </c>
      <c r="CA104" t="n">
        <v>64</v>
      </c>
      <c r="CB104" s="101">
        <f>2*$W$142*CA104/200</f>
        <v>51.2</v>
      </c>
      <c r="CC104" s="101">
        <f>0.447*$W$45*$W$143*MIN(0.8*CB104,$W$142)+SUMPRODUCT($BO$25:$BO$36,(ABS((2000000*0.003*(CB104-$BN$25:$BN$36)/CB104)+$W$146)-ABS((2000000*0.003*(CB104-$BN$25:$BN$36)/CB104)-$W$146))/2)-$W$139*1000</f>
        <v>270334.481542425</v>
      </c>
      <c r="CD104" s="101">
        <f>(0.447*$W$45*$W$143*MIN(0.8*CB104,$W$142)*($W$142/2-MIN(0.8*CB104,$W$142)/2)+SUMPRODUCT($BO$25:$BO$36,(ABS((2000000*0.003*(CB104-$BN$25:$BN$36)/CB104)+$W$146)-ABS((2000000*0.003*(CB104-$BN$25:$BN$36)/CB104)-$W$146))/2,($W$142/2-$BN$25:$BN$36)))/100000</f>
        <v>80.2144247853383</v>
      </c>
      <c r="CE104" s="101">
        <f>IF(AND(CC103&lt;0,CC104&gt;=0),CA104,"")</f>
        <v/>
      </c>
    </row>
    <row r="105">
      <c r="V105" t="inlineStr">
        <is>
          <t>c min a</t>
        </is>
      </c>
      <c r="W105" s="109">
        <f>MIN($W$95,$W$96,$W$97,$W$98)</f>
        <v>15.0</v>
      </c>
      <c r="CA105" t="n">
        <v>65</v>
      </c>
      <c r="CB105" s="101">
        <f>2*$W$142*CA105/200</f>
        <v>52.0</v>
      </c>
      <c r="CC105" s="101">
        <f>0.447*$W$45*$W$143*MIN(0.8*CB105,$W$142)+SUMPRODUCT($BO$25:$BO$36,(ABS((2000000*0.003*(CB105-$BN$25:$BN$36)/CB105)+$W$146)-ABS((2000000*0.003*(CB105-$BN$25:$BN$36)/CB105)-$W$146))/2)-$W$139*1000</f>
        <v>277232.140136622</v>
      </c>
      <c r="CD105" s="101">
        <f>(0.447*$W$45*$W$143*MIN(0.8*CB105,$W$142)*($W$142/2-MIN(0.8*CB105,$W$142)/2)+SUMPRODUCT($BO$25:$BO$36,(ABS((2000000*0.003*(CB105-$BN$25:$BN$36)/CB105)+$W$146)-ABS((2000000*0.003*(CB105-$BN$25:$BN$36)/CB105)-$W$146))/2,($W$142/2-$BN$25:$BN$36)))/100000</f>
        <v>79.5380054111272</v>
      </c>
      <c r="CE105" s="101">
        <f>IF(AND(CC104&lt;0,CC105&gt;=0),CA105,"")</f>
        <v/>
      </c>
    </row>
    <row r="106">
      <c r="V106" t="inlineStr">
        <is>
          <t>psi ed a</t>
        </is>
      </c>
      <c r="W106" s="109">
        <f>IF($W$105&gt;=1.5*$W$102,1,0.7+0.3*$W$105/(1.5*$W$102))</f>
        <v>0.867125804359347</v>
      </c>
      <c r="CA106" t="n">
        <v>66</v>
      </c>
      <c r="CB106" s="101">
        <f>2*$W$142*CA106/200</f>
        <v>52.8</v>
      </c>
      <c r="CC106" s="101">
        <f>0.447*$W$45*$W$143*MIN(0.8*CB106,$W$142)+SUMPRODUCT($BO$25:$BO$36,(ABS((2000000*0.003*(CB106-$BN$25:$BN$36)/CB106)+$W$146)-ABS((2000000*0.003*(CB106-$BN$25:$BN$36)/CB106)-$W$146))/2)-$W$139*1000</f>
        <v>284050.815137055</v>
      </c>
      <c r="CD106" s="101">
        <f>(0.447*$W$45*$W$143*MIN(0.8*CB106,$W$142)*($W$142/2-MIN(0.8*CB106,$W$142)/2)+SUMPRODUCT($BO$25:$BO$36,(ABS((2000000*0.003*(CB106-$BN$25:$BN$36)/CB106)+$W$146)-ABS((2000000*0.003*(CB106-$BN$25:$BN$36)/CB106)-$W$146))/2,($W$142/2-$BN$25:$BN$36)))/100000</f>
        <v>78.8529554482557</v>
      </c>
      <c r="CE106" s="101">
        <f>IF(AND(CC105&lt;0,CC106&gt;=0),CA106,"")</f>
        <v/>
      </c>
    </row>
    <row r="107">
      <c r="V107" t="inlineStr">
        <is>
          <t>Nb a</t>
        </is>
      </c>
      <c r="W107" s="109">
        <f>10*SQRT($W$46)*($W$102*10)^1.5/1000</f>
        <v>106.495566546396</v>
      </c>
      <c r="CA107" t="n">
        <v>67</v>
      </c>
      <c r="CB107" s="101">
        <f>2*$W$142*CA107/200</f>
        <v>53.6</v>
      </c>
      <c r="CC107" s="101">
        <f>0.447*$W$45*$W$143*MIN(0.8*CB107,$W$142)+SUMPRODUCT($BO$25:$BO$36,(ABS((2000000*0.003*(CB107-$BN$25:$BN$36)/CB107)+$W$146)-ABS((2000000*0.003*(CB107-$BN$25:$BN$36)/CB107)-$W$146))/2)-$W$139*1000</f>
        <v>290794.04312255</v>
      </c>
      <c r="CD107" s="101">
        <f>(0.447*$W$45*$W$143*MIN(0.8*CB107,$W$142)*($W$142/2-MIN(0.8*CB107,$W$142)/2)+SUMPRODUCT($BO$25:$BO$36,(ABS((2000000*0.003*(CB107-$BN$25:$BN$36)/CB107)+$W$146)-ABS((2000000*0.003*(CB107-$BN$25:$BN$36)/CB107)-$W$146))/2,($W$142/2-$BN$25:$BN$36)))/100000</f>
        <v>78.1584316239775</v>
      </c>
      <c r="CE107" s="101">
        <f>IF(AND(CC106&lt;0,CC107&gt;=0),CA107,"")</f>
        <v/>
      </c>
    </row>
    <row r="108">
      <c r="V108" t="inlineStr">
        <is>
          <t>Ncpg kN</t>
        </is>
      </c>
      <c r="W108" s="109">
        <f>MIN($W$103/$W$104,$W$55)*$W$106*$W$107</f>
        <v>152.84698560372</v>
      </c>
      <c r="CA108" t="n">
        <v>68</v>
      </c>
      <c r="CB108" s="101">
        <f>2*$W$142*CA108/200</f>
        <v>54.4</v>
      </c>
      <c r="CC108" s="101">
        <f>0.447*$W$45*$W$143*MIN(0.8*CB108,$W$142)+SUMPRODUCT($BO$25:$BO$36,(ABS((2000000*0.003*(CB108-$BN$25:$BN$36)/CB108)+$W$146)-ABS((2000000*0.003*(CB108-$BN$25:$BN$36)/CB108)-$W$146))/2)-$W$139*1000</f>
        <v>297465.152637883</v>
      </c>
      <c r="CD108" s="101">
        <f>(0.447*$W$45*$W$143*MIN(0.8*CB108,$W$142)*($W$142/2-MIN(0.8*CB108,$W$142)/2)+SUMPRODUCT($BO$25:$BO$36,(ABS((2000000*0.003*(CB108-$BN$25:$BN$36)/CB108)+$W$146)-ABS((2000000*0.003*(CB108-$BN$25:$BN$36)/CB108)-$W$146))/2,($W$142/2-$BN$25:$BN$36)))/100000</f>
        <v>77.453640269825</v>
      </c>
      <c r="CE108" s="101">
        <f>IF(AND(CC107&lt;0,CC108&gt;=0),CA108,"")</f>
        <v/>
      </c>
    </row>
    <row r="109">
      <c r="V109" t="inlineStr">
        <is>
          <t>cap pryout</t>
        </is>
      </c>
      <c r="W109" s="109">
        <f>0.7*2*$W$108/$W$53</f>
        <v>142.657186563472</v>
      </c>
      <c r="CA109" t="n">
        <v>69</v>
      </c>
      <c r="CB109" s="101">
        <f>2*$W$142*CA109/200</f>
        <v>55.2</v>
      </c>
      <c r="CC109" s="101">
        <f>0.447*$W$45*$W$143*MIN(0.8*CB109,$W$142)+SUMPRODUCT($BO$25:$BO$36,(ABS((2000000*0.003*(CB109-$BN$25:$BN$36)/CB109)+$W$146)-ABS((2000000*0.003*(CB109-$BN$25:$BN$36)/CB109)-$W$146))/2)-$W$139*1000</f>
        <v>304067.279268714</v>
      </c>
      <c r="CD109" s="101">
        <f>(0.447*$W$45*$W$143*MIN(0.8*CB109,$W$142)*($W$142/2-MIN(0.8*CB109,$W$142)/2)+SUMPRODUCT($BO$25:$BO$36,(ABS((2000000*0.003*(CB109-$BN$25:$BN$36)/CB109)+$W$146)-ABS((2000000*0.003*(CB109-$BN$25:$BN$36)/CB109)-$W$146))/2,($W$142/2-$BN$25:$BN$36)))/100000</f>
        <v>76.7378337270973</v>
      </c>
      <c r="CE109" s="101">
        <f>IF(AND(CC108&lt;0,CC109&gt;=0),CA109,"")</f>
        <v/>
      </c>
    </row>
    <row r="110">
      <c r="V110" t="inlineStr">
        <is>
          <t>V total kN</t>
        </is>
      </c>
      <c r="W110" s="109">
        <f>SQRT(SUM($AN$25:$AN$36)^2+SUM($AO$25:$AO$36)^2)*9.81</f>
        <v>31.0219438462518</v>
      </c>
      <c r="CA110" t="n">
        <v>70</v>
      </c>
      <c r="CB110" s="101">
        <f>2*$W$142*CA110/200</f>
        <v>56.0</v>
      </c>
      <c r="CC110" s="101">
        <f>0.447*$W$45*$W$143*MIN(0.8*CB110,$W$142)+SUMPRODUCT($BO$25:$BO$36,(ABS((2000000*0.003*(CB110-$BN$25:$BN$36)/CB110)+$W$146)-ABS((2000000*0.003*(CB110-$BN$25:$BN$36)/CB110)-$W$146))/2)-$W$139*1000</f>
        <v>310603.379424378</v>
      </c>
      <c r="CD110" s="101">
        <f>(0.447*$W$45*$W$143*MIN(0.8*CB110,$W$142)*($W$142/2-MIN(0.8*CB110,$W$142)/2)+SUMPRODUCT($BO$25:$BO$36,(ABS((2000000*0.003*(CB110-$BN$25:$BN$36)/CB110)+$W$146)-ABS((2000000*0.003*(CB110-$BN$25:$BN$36)/CB110)-$W$146))/2,($W$142/2-$BN$25:$BN$36)))/100000</f>
        <v>76.0103070604475</v>
      </c>
      <c r="CE110" s="101">
        <f>IF(AND(CC109&lt;0,CC110&gt;=0),CA110,"")</f>
        <v/>
      </c>
    </row>
    <row r="111">
      <c r="V111" t="inlineStr">
        <is>
          <t>status P</t>
        </is>
      </c>
      <c r="W111" s="109" t="str">
        <f>IF($W$110=0,"N/A",IF($W$109&gt;=$W$110,"Safe","Un-Safe"))</f>
        <v>Safe</v>
      </c>
      <c r="CA111" t="n">
        <v>71</v>
      </c>
      <c r="CB111" s="101">
        <f>2*$W$142*CA111/200</f>
        <v>56.8</v>
      </c>
      <c r="CC111" s="101">
        <f>0.447*$W$45*$W$143*MIN(0.8*CB111,$W$142)+SUMPRODUCT($BO$25:$BO$36,(ABS((2000000*0.003*(CB111-$BN$25:$BN$36)/CB111)+$W$146)-ABS((2000000*0.003*(CB111-$BN$25:$BN$36)/CB111)-$W$146))/2)-$W$139*1000</f>
        <v>317076.242955939</v>
      </c>
      <c r="CD111" s="101">
        <f>(0.447*$W$45*$W$143*MIN(0.8*CB111,$W$142)*($W$142/2-MIN(0.8*CB111,$W$142)/2)+SUMPRODUCT($BO$25:$BO$36,(ABS((2000000*0.003*(CB111-$BN$25:$BN$36)/CB111)+$W$146)-ABS((2000000*0.003*(CB111-$BN$25:$BN$36)/CB111)-$W$146))/2,($W$142/2-$BN$25:$BN$36)))/100000</f>
        <v>75.2703950491963</v>
      </c>
      <c r="CE111" s="101">
        <f>IF(AND(CC110&lt;0,CC111&gt;=0),CA111,"")</f>
        <v/>
      </c>
    </row>
    <row r="112">
      <c r="V112" t="inlineStr">
        <is>
          <t>psi c,V</t>
        </is>
      </c>
      <c r="W112" s="109">
        <f>IF($W$51,1.2,1)</f>
        <v>1.2</v>
      </c>
      <c r="CA112" t="n">
        <v>72</v>
      </c>
      <c r="CB112" s="101">
        <f>2*$W$142*CA112/200</f>
        <v>57.6</v>
      </c>
      <c r="CC112" s="101">
        <f>0.447*$W$45*$W$143*MIN(0.8*CB112,$W$142)+SUMPRODUCT($BO$25:$BO$36,(ABS((2000000*0.003*(CB112-$BN$25:$BN$36)/CB112)+$W$146)-ABS((2000000*0.003*(CB112-$BN$25:$BN$36)/CB112)-$W$146))/2)-$W$139*1000</f>
        <v>323488.504722735</v>
      </c>
      <c r="CD112" s="101">
        <f>(0.447*$W$45*$W$143*MIN(0.8*CB112,$W$142)*($W$142/2-MIN(0.8*CB112,$W$142)/2)+SUMPRODUCT($BO$25:$BO$36,(ABS((2000000*0.003*(CB112-$BN$25:$BN$36)/CB112)+$W$146)-ABS((2000000*0.003*(CB112-$BN$25:$BN$36)/CB112)-$W$146))/2,($W$142/2-$BN$25:$BN$36)))/100000</f>
        <v>74.5174694293688</v>
      </c>
      <c r="CE112" s="101">
        <f>IF(AND(CC111&lt;0,CC112&gt;=0),CA112,"")</f>
        <v/>
      </c>
    </row>
    <row r="113">
      <c r="V113" t="inlineStr">
        <is>
          <t>le mm</t>
        </is>
      </c>
      <c r="W113" s="109">
        <f>MIN($W$47*10,8*$W$48)</f>
        <v>240.0</v>
      </c>
      <c r="CA113" t="n">
        <v>73</v>
      </c>
      <c r="CB113" s="101">
        <f>2*$W$142*CA113/200</f>
        <v>58.4</v>
      </c>
      <c r="CC113" s="101">
        <f>0.447*$W$45*$W$143*MIN(0.8*CB113,$W$142)+SUMPRODUCT($BO$25:$BO$36,(ABS((2000000*0.003*(CB113-$BN$25:$BN$36)/CB113)+$W$146)-ABS((2000000*0.003*(CB113-$BN$25:$BN$36)/CB113)-$W$146))/2)-$W$139*1000</f>
        <v>329842.655208248</v>
      </c>
      <c r="CD113" s="101">
        <f>(0.447*$W$45*$W$143*MIN(0.8*CB113,$W$142)*($W$142/2-MIN(0.8*CB113,$W$142)/2)+SUMPRODUCT($BO$25:$BO$36,(ABS((2000000*0.003*(CB113-$BN$25:$BN$36)/CB113)+$W$146)-ABS((2000000*0.003*(CB113-$BN$25:$BN$36)/CB113)-$W$146))/2,($W$142/2-$BN$25:$BN$36)))/100000</f>
        <v>73.7509363624132</v>
      </c>
      <c r="CE113" s="101">
        <f>IF(AND(CC112&lt;0,CC113&gt;=0),CA113,"")</f>
        <v/>
      </c>
    </row>
    <row r="114">
      <c r="V114" t="inlineStr">
        <is>
          <t>ca1 raw X</t>
        </is>
      </c>
      <c r="W114" s="109">
        <f>MIN($W$95,$W$96)</f>
        <v>15.0</v>
      </c>
      <c r="CA114" t="n">
        <v>74</v>
      </c>
      <c r="CB114" s="101">
        <f>2*$W$142*CA114/200</f>
        <v>59.2</v>
      </c>
      <c r="CC114" s="101">
        <f>0.447*$W$45*$W$143*MIN(0.8*CB114,$W$142)+SUMPRODUCT($BO$25:$BO$36,(ABS((2000000*0.003*(CB114-$BN$25:$BN$36)/CB114)+$W$146)-ABS((2000000*0.003*(CB114-$BN$25:$BN$36)/CB114)-$W$146))/2)-$W$139*1000</f>
        <v>336141.050275234</v>
      </c>
      <c r="CD114" s="101">
        <f>(0.447*$W$45*$W$143*MIN(0.8*CB114,$W$142)*($W$142/2-MIN(0.8*CB114,$W$142)/2)+SUMPRODUCT($BO$25:$BO$36,(ABS((2000000*0.003*(CB114-$BN$25:$BN$36)/CB114)+$W$146)-ABS((2000000*0.003*(CB114-$BN$25:$BN$36)/CB114)-$W$146))/2,($W$142/2-$BN$25:$BN$36)))/100000</f>
        <v>72.9702341091591</v>
      </c>
      <c r="CE114" s="101">
        <f>IF(AND(CC113&lt;0,CC114&gt;=0),CA114,"")</f>
        <v/>
      </c>
    </row>
    <row r="115">
      <c r="V115" t="inlineStr">
        <is>
          <t>span X</t>
        </is>
      </c>
      <c r="W115" s="109">
        <f>$W$94-$W$93</f>
        <v>20.0</v>
      </c>
      <c r="CA115" t="n">
        <v>75</v>
      </c>
      <c r="CB115" s="101">
        <f>2*$W$142*CA115/200</f>
        <v>60.0</v>
      </c>
      <c r="CC115" s="101">
        <f>0.447*$W$45*$W$143*MIN(0.8*CB115,$W$142)+SUMPRODUCT($BO$25:$BO$36,(ABS((2000000*0.003*(CB115-$BN$25:$BN$36)/CB115)+$W$146)-ABS((2000000*0.003*(CB115-$BN$25:$BN$36)/CB115)-$W$146))/2)-$W$139*1000</f>
        <v>342385.920140434</v>
      </c>
      <c r="CD115" s="101">
        <f>(0.447*$W$45*$W$143*MIN(0.8*CB115,$W$142)*($W$142/2-MIN(0.8*CB115,$W$142)/2)+SUMPRODUCT($BO$25:$BO$36,(ABS((2000000*0.003*(CB115-$BN$25:$BN$36)/CB115)+$W$146)-ABS((2000000*0.003*(CB115-$BN$25:$BN$36)/CB115)-$W$146))/2,($W$142/2-$BN$25:$BN$36)))/100000</f>
        <v>72.1748308898585</v>
      </c>
      <c r="CE115" s="101">
        <f>IF(AND(CC114&lt;0,CC115&gt;=0),CA115,"")</f>
        <v/>
      </c>
    </row>
    <row r="116">
      <c r="V116" t="inlineStr">
        <is>
          <t>ca1 X</t>
        </is>
      </c>
      <c r="W116" s="109">
        <f>IF(AND($W$97&lt;1.5*$W$114,$W$98&lt;1.5*$W$114,$C$9&lt;1.5*$W$114),MAX(MAX($W$97,$W$98)/1.5,$C$9/1.5,$W$115/3),$W$114)</f>
        <v>15.0</v>
      </c>
      <c r="CA116" t="n">
        <v>76</v>
      </c>
      <c r="CB116" s="101">
        <f>2*$W$142*CA116/200</f>
        <v>60.8</v>
      </c>
      <c r="CC116" s="101">
        <f>0.447*$W$45*$W$143*MIN(0.8*CB116,$W$142)+SUMPRODUCT($BO$25:$BO$36,(ABS((2000000*0.003*(CB116-$BN$25:$BN$36)/CB116)+$W$146)-ABS((2000000*0.003*(CB116-$BN$25:$BN$36)/CB116)-$W$146))/2)-$W$139*1000</f>
        <v>348579.37764076</v>
      </c>
      <c r="CD116" s="101">
        <f>(0.447*$W$45*$W$143*MIN(0.8*CB116,$W$142)*($W$142/2-MIN(0.8*CB116,$W$142)/2)+SUMPRODUCT($BO$25:$BO$36,(ABS((2000000*0.003*(CB116-$BN$25:$BN$36)/CB116)+$W$146)-ABS((2000000*0.003*(CB116-$BN$25:$BN$36)/CB116)-$W$146))/2,($W$142/2-$BN$25:$BN$36)))/100000</f>
        <v>71.3642229131711</v>
      </c>
      <c r="CE116" s="101">
        <f>IF(AND(CC115&lt;0,CC116&gt;=0),CA116,"")</f>
        <v/>
      </c>
    </row>
    <row r="117">
      <c r="V117" t="inlineStr">
        <is>
          <t>Avc X</t>
        </is>
      </c>
      <c r="W117" s="109">
        <f>(MIN($W$97,1.5*$W$116)+$W$115+MIN($W$98,1.5*$W$116))*MIN(1.5*$W$116,$C$9)</f>
        <v>1350.0</v>
      </c>
      <c r="CA117" t="n">
        <v>77</v>
      </c>
      <c r="CB117" s="101">
        <f>2*$W$142*CA117/200</f>
        <v>61.6</v>
      </c>
      <c r="CC117" s="101">
        <f>0.447*$W$45*$W$143*MIN(0.8*CB117,$W$142)+SUMPRODUCT($BO$25:$BO$36,(ABS((2000000*0.003*(CB117-$BN$25:$BN$36)/CB117)+$W$146)-ABS((2000000*0.003*(CB117-$BN$25:$BN$36)/CB117)-$W$146))/2)-$W$139*1000</f>
        <v>354723.425855363</v>
      </c>
      <c r="CD117" s="101">
        <f>(0.447*$W$45*$W$143*MIN(0.8*CB117,$W$142)*($W$142/2-MIN(0.8*CB117,$W$142)/2)+SUMPRODUCT($BO$25:$BO$36,(ABS((2000000*0.003*(CB117-$BN$25:$BN$36)/CB117)+$W$146)-ABS((2000000*0.003*(CB117-$BN$25:$BN$36)/CB117)-$W$146))/2,($W$142/2-$BN$25:$BN$36)))/100000</f>
        <v>70.5379325587352</v>
      </c>
      <c r="CE117" s="101">
        <f>IF(AND(CC116&lt;0,CC117&gt;=0),CA117,"")</f>
        <v/>
      </c>
    </row>
    <row r="118">
      <c r="V118" t="inlineStr">
        <is>
          <t>Avco X</t>
        </is>
      </c>
      <c r="W118" s="109">
        <f>4.5*$W$116^2</f>
        <v>1012.5</v>
      </c>
      <c r="CA118" t="n">
        <v>78</v>
      </c>
      <c r="CB118" s="101">
        <f>2*$W$142*CA118/200</f>
        <v>62.4</v>
      </c>
      <c r="CC118" s="101">
        <f>0.447*$W$45*$W$143*MIN(0.8*CB118,$W$142)+SUMPRODUCT($BO$25:$BO$36,(ABS((2000000*0.003*(CB118-$BN$25:$BN$36)/CB118)+$W$146)-ABS((2000000*0.003*(CB118-$BN$25:$BN$36)/CB118)-$W$146))/2)-$W$139*1000</f>
        <v>360819.965141387</v>
      </c>
      <c r="CD118" s="101">
        <f>(0.447*$W$45*$W$143*MIN(0.8*CB118,$W$142)*($W$142/2-MIN(0.8*CB118,$W$142)/2)+SUMPRODUCT($BO$25:$BO$36,(ABS((2000000*0.003*(CB118-$BN$25:$BN$36)/CB118)+$W$146)-ABS((2000000*0.003*(CB118-$BN$25:$BN$36)/CB118)-$W$146))/2,($W$142/2-$BN$25:$BN$36)))/100000</f>
        <v>69.6955066995414</v>
      </c>
      <c r="CE118" s="101">
        <f>IF(AND(CC117&lt;0,CC118&gt;=0),CA118,"")</f>
        <v/>
      </c>
    </row>
    <row r="119">
      <c r="V119" t="inlineStr">
        <is>
          <t>psi ed X</t>
        </is>
      </c>
      <c r="W119" s="109">
        <f>IF(MIN($W$97,$W$98)&gt;=1.5*$W$116,1,0.7+0.3*MIN($W$97,$W$98)/(1.5*$W$116))</f>
        <v>0.966666666666667</v>
      </c>
      <c r="CA119" t="n">
        <v>79</v>
      </c>
      <c r="CB119" s="101">
        <f>2*$W$142*CA119/200</f>
        <v>63.2</v>
      </c>
      <c r="CC119" s="101">
        <f>0.447*$W$45*$W$143*MIN(0.8*CB119,$W$142)+SUMPRODUCT($BO$25:$BO$36,(ABS((2000000*0.003*(CB119-$BN$25:$BN$36)/CB119)+$W$146)-ABS((2000000*0.003*(CB119-$BN$25:$BN$36)/CB119)-$W$146))/2)-$W$139*1000</f>
        <v>366870.79963536</v>
      </c>
      <c r="CD119" s="101">
        <f>(0.447*$W$45*$W$143*MIN(0.8*CB119,$W$142)*($W$142/2-MIN(0.8*CB119,$W$142)/2)+SUMPRODUCT($BO$25:$BO$36,(ABS((2000000*0.003*(CB119-$BN$25:$BN$36)/CB119)+$W$146)-ABS((2000000*0.003*(CB119-$BN$25:$BN$36)/CB119)-$W$146))/2,($W$142/2-$BN$25:$BN$36)))/100000</f>
        <v>68.8365151517195</v>
      </c>
      <c r="CE119" s="101">
        <f>IF(AND(CC118&lt;0,CC119&gt;=0),CA119,"")</f>
        <v/>
      </c>
    </row>
    <row r="120">
      <c r="V120" t="inlineStr">
        <is>
          <t>psi h X</t>
        </is>
      </c>
      <c r="W120" s="109">
        <f>MAX(1,SQRT(1.5*$W$116/$C$9))</f>
        <v>1.0</v>
      </c>
      <c r="CA120" t="n">
        <v>80</v>
      </c>
      <c r="CB120" s="101">
        <f>2*$W$142*CA120/200</f>
        <v>64.0</v>
      </c>
      <c r="CC120" s="101">
        <f>0.447*$W$45*$W$143*MIN(0.8*CB120,$W$142)+SUMPRODUCT($BO$25:$BO$36,(ABS((2000000*0.003*(CB120-$BN$25:$BN$36)/CB120)+$W$146)-ABS((2000000*0.003*(CB120-$BN$25:$BN$36)/CB120)-$W$146))/2)-$W$139*1000</f>
        <v>372877.643266983</v>
      </c>
      <c r="CD120" s="101">
        <f>(0.447*$W$45*$W$143*MIN(0.8*CB120,$W$142)*($W$142/2-MIN(0.8*CB120,$W$142)/2)+SUMPRODUCT($BO$25:$BO$36,(ABS((2000000*0.003*(CB120-$BN$25:$BN$36)/CB120)+$W$146)-ABS((2000000*0.003*(CB120-$BN$25:$BN$36)/CB120)-$W$146))/2,($W$142/2-$BN$25:$BN$36)))/100000</f>
        <v>67.9605492405931</v>
      </c>
      <c r="CE120" s="101">
        <f>IF(AND(CC119&lt;0,CC120&gt;=0),CA120,"")</f>
        <v/>
      </c>
    </row>
    <row r="121">
      <c r="V121" t="inlineStr">
        <is>
          <t>Vb X</t>
        </is>
      </c>
      <c r="W121" s="109">
        <f>MIN(0.6*($W$113/$W$48)^0.2*SQRT($W$48),3.7)*SQRT($W$46)*($W$116*10)^1.5/1000</f>
        <v>30.0991010223385</v>
      </c>
      <c r="CA121" t="n">
        <v>81</v>
      </c>
      <c r="CB121" s="101">
        <f>2*$W$142*CA121/200</f>
        <v>64.8</v>
      </c>
      <c r="CC121" s="101">
        <f>0.447*$W$45*$W$143*MIN(0.8*CB121,$W$142)+SUMPRODUCT($BO$25:$BO$36,(ABS((2000000*0.003*(CB121-$BN$25:$BN$36)/CB121)+$W$146)-ABS((2000000*0.003*(CB121-$BN$25:$BN$36)/CB121)-$W$146))/2)-$W$139*1000</f>
        <v>378842.125327455</v>
      </c>
      <c r="CD121" s="101">
        <f>(0.447*$W$45*$W$143*MIN(0.8*CB121,$W$142)*($W$142/2-MIN(0.8*CB121,$W$142)/2)+SUMPRODUCT($BO$25:$BO$36,(ABS((2000000*0.003*(CB121-$BN$25:$BN$36)/CB121)+$W$146)-ABS((2000000*0.003*(CB121-$BN$25:$BN$36)/CB121)-$W$146))/2,($W$142/2-$BN$25:$BN$36)))/100000</f>
        <v>67.0672204729514</v>
      </c>
      <c r="CE121" s="101">
        <f>IF(AND(CC120&lt;0,CC121&gt;=0),CA121,"")</f>
        <v/>
      </c>
    </row>
    <row r="122">
      <c r="V122" t="inlineStr">
        <is>
          <t>Vcbg X</t>
        </is>
      </c>
      <c r="W122" s="109">
        <f>MIN($W$117/$W$118,$W$55)*$W$119*$W$112*$W$120*$W$121</f>
        <v>46.5532762478836</v>
      </c>
      <c r="CA122" t="n">
        <v>82</v>
      </c>
      <c r="CB122" s="101">
        <f>2*$W$142*CA122/200</f>
        <v>65.6</v>
      </c>
      <c r="CC122" s="101">
        <f>0.447*$W$45*$W$143*MIN(0.8*CB122,$W$142)+SUMPRODUCT($BO$25:$BO$36,(ABS((2000000*0.003*(CB122-$BN$25:$BN$36)/CB122)+$W$146)-ABS((2000000*0.003*(CB122-$BN$25:$BN$36)/CB122)-$W$146))/2)-$W$139*1000</f>
        <v>384765.795630354</v>
      </c>
      <c r="CD122" s="101">
        <f>(0.447*$W$45*$W$143*MIN(0.8*CB122,$W$142)*($W$142/2-MIN(0.8*CB122,$W$142)/2)+SUMPRODUCT($BO$25:$BO$36,(ABS((2000000*0.003*(CB122-$BN$25:$BN$36)/CB122)+$W$146)-ABS((2000000*0.003*(CB122-$BN$25:$BN$36)/CB122)-$W$146))/2,($W$142/2-$BN$25:$BN$36)))/100000</f>
        <v>66.1561593064716</v>
      </c>
      <c r="CE122" s="101">
        <f>IF(AND(CC121&lt;0,CC122&gt;=0),CA122,"")</f>
        <v/>
      </c>
    </row>
    <row r="123">
      <c r="V123" t="inlineStr">
        <is>
          <t>cap X</t>
        </is>
      </c>
      <c r="W123" s="109">
        <f>$W$52*$W$122/$W$53</f>
        <v>23.2766381239418</v>
      </c>
      <c r="CA123" t="n">
        <v>83</v>
      </c>
      <c r="CB123" s="101">
        <f>2*$W$142*CA123/200</f>
        <v>66.4</v>
      </c>
      <c r="CC123" s="101">
        <f>0.447*$W$45*$W$143*MIN(0.8*CB123,$W$142)+SUMPRODUCT($BO$25:$BO$36,(ABS((2000000*0.003*(CB123-$BN$25:$BN$36)/CB123)+$W$146)-ABS((2000000*0.003*(CB123-$BN$25:$BN$36)/CB123)-$W$146))/2)-$W$139*1000</f>
        <v>390650.129299449</v>
      </c>
      <c r="CD123" s="101">
        <f>(0.447*$W$45*$W$143*MIN(0.8*CB123,$W$142)*($W$142/2-MIN(0.8*CB123,$W$142)/2)+SUMPRODUCT($BO$25:$BO$36,(ABS((2000000*0.003*(CB123-$BN$25:$BN$36)/CB123)+$W$146)-ABS((2000000*0.003*(CB123-$BN$25:$BN$36)/CB123)-$W$146))/2,($W$142/2-$BN$25:$BN$36)))/100000</f>
        <v>65.2270140080998</v>
      </c>
      <c r="CE123" s="101">
        <f>IF(AND(CC122&lt;0,CC123&gt;=0),CA123,"")</f>
        <v/>
      </c>
    </row>
    <row r="124">
      <c r="V124" t="inlineStr">
        <is>
          <t>dem X</t>
        </is>
      </c>
      <c r="W124" s="109">
        <f>SUM($AN$25:$AN$36)*9.81</f>
        <v>29.43</v>
      </c>
      <c r="CA124" t="n">
        <v>84</v>
      </c>
      <c r="CB124" s="101">
        <f>2*$W$142*CA124/200</f>
        <v>67.2</v>
      </c>
      <c r="CC124" s="101">
        <f>0.447*$W$45*$W$143*MIN(0.8*CB124,$W$142)+SUMPRODUCT($BO$25:$BO$36,(ABS((2000000*0.003*(CB124-$BN$25:$BN$36)/CB124)+$W$146)-ABS((2000000*0.003*(CB124-$BN$25:$BN$36)/CB124)-$W$146))/2)-$W$139*1000</f>
        <v>396496.531214518</v>
      </c>
      <c r="CD124" s="101">
        <f>(0.447*$W$45*$W$143*MIN(0.8*CB124,$W$142)*($W$142/2-MIN(0.8*CB124,$W$142)/2)+SUMPRODUCT($BO$25:$BO$36,(ABS((2000000*0.003*(CB124-$BN$25:$BN$36)/CB124)+$W$146)-ABS((2000000*0.003*(CB124-$BN$25:$BN$36)/CB124)-$W$146))/2,($W$142/2-$BN$25:$BN$36)))/100000</f>
        <v>64.279449593975</v>
      </c>
      <c r="CE124" s="101">
        <f>IF(AND(CC123&lt;0,CC124&gt;=0),CA124,"")</f>
        <v/>
      </c>
    </row>
    <row r="125">
      <c r="V125" t="inlineStr">
        <is>
          <t>status X</t>
        </is>
      </c>
      <c r="W125" s="109" t="str">
        <f>IF($W$124=0,"N/A",IF($W$123&gt;=$W$124,"Safe",IF($W$51,"By Rft.","Un-Safe")))</f>
        <v>By Rft.</v>
      </c>
      <c r="CA125" t="n">
        <v>85</v>
      </c>
      <c r="CB125" s="101">
        <f>2*$W$142*CA125/200</f>
        <v>68.0</v>
      </c>
      <c r="CC125" s="101">
        <f>0.447*$W$45*$W$143*MIN(0.8*CB125,$W$142)+SUMPRODUCT($BO$25:$BO$36,(ABS((2000000*0.003*(CB125-$BN$25:$BN$36)/CB125)+$W$146)-ABS((2000000*0.003*(CB125-$BN$25:$BN$36)/CB125)-$W$146))/2)-$W$139*1000</f>
        <v>402306.34014335</v>
      </c>
      <c r="CD125" s="101">
        <f>(0.447*$W$45*$W$143*MIN(0.8*CB125,$W$142)*($W$142/2-MIN(0.8*CB125,$W$142)/2)+SUMPRODUCT($BO$25:$BO$36,(ABS((2000000*0.003*(CB125-$BN$25:$BN$36)/CB125)+$W$146)-ABS((2000000*0.003*(CB125-$BN$25:$BN$36)/CB125)-$W$146))/2,($W$142/2-$BN$25:$BN$36)))/100000</f>
        <v>63.3131468441825</v>
      </c>
      <c r="CE125" s="101">
        <f>IF(AND(CC124&lt;0,CC125&gt;=0),CA125,"")</f>
        <v/>
      </c>
    </row>
    <row r="126">
      <c r="V126" t="inlineStr">
        <is>
          <t>ca1 raw Y</t>
        </is>
      </c>
      <c r="W126" s="109">
        <f>MIN($W$97,$W$98)</f>
        <v>20.0</v>
      </c>
      <c r="CA126" t="n">
        <v>86</v>
      </c>
      <c r="CB126" s="101">
        <f>2*$W$142*CA126/200</f>
        <v>68.8</v>
      </c>
      <c r="CC126" s="101">
        <f>0.447*$W$45*$W$143*MIN(0.8*CB126,$W$142)+SUMPRODUCT($BO$25:$BO$36,(ABS((2000000*0.003*(CB126-$BN$25:$BN$36)/CB126)+$W$146)-ABS((2000000*0.003*(CB126-$BN$25:$BN$36)/CB126)-$W$146))/2)-$W$139*1000</f>
        <v>408080.832585464</v>
      </c>
      <c r="CD126" s="101">
        <f>(0.447*$W$45*$W$143*MIN(0.8*CB126,$W$142)*($W$142/2-MIN(0.8*CB126,$W$142)/2)+SUMPRODUCT($BO$25:$BO$36,(ABS((2000000*0.003*(CB126-$BN$25:$BN$36)/CB126)+$W$146)-ABS((2000000*0.003*(CB126-$BN$25:$BN$36)/CB126)-$W$146))/2,($W$142/2-$BN$25:$BN$36)))/100000</f>
        <v>62.3278013862456</v>
      </c>
      <c r="CE126" s="101">
        <f>IF(AND(CC125&lt;0,CC126&gt;=0),CA126,"")</f>
        <v/>
      </c>
    </row>
    <row r="127">
      <c r="V127" t="inlineStr">
        <is>
          <t>span Y</t>
        </is>
      </c>
      <c r="W127" s="109">
        <f>$W$92-$W$91</f>
        <v>50.0</v>
      </c>
      <c r="CA127" t="n">
        <v>87</v>
      </c>
      <c r="CB127" s="101">
        <f>2*$W$142*CA127/200</f>
        <v>69.6</v>
      </c>
      <c r="CC127" s="101">
        <f>0.447*$W$45*$W$143*MIN(0.8*CB127,$W$142)+SUMPRODUCT($BO$25:$BO$36,(ABS((2000000*0.003*(CB127-$BN$25:$BN$36)/CB127)+$W$146)-ABS((2000000*0.003*(CB127-$BN$25:$BN$36)/CB127)-$W$146))/2)-$W$139*1000</f>
        <v>413821.226350749</v>
      </c>
      <c r="CD127" s="101">
        <f>(0.447*$W$45*$W$143*MIN(0.8*CB127,$W$142)*($W$142/2-MIN(0.8*CB127,$W$142)/2)+SUMPRODUCT($BO$25:$BO$36,(ABS((2000000*0.003*(CB127-$BN$25:$BN$36)/CB127)+$W$146)-ABS((2000000*0.003*(CB127-$BN$25:$BN$36)/CB127)-$W$146))/2,($W$142/2-$BN$25:$BN$36)))/100000</f>
        <v>61.3231228418246</v>
      </c>
      <c r="CE127" s="101">
        <f>IF(AND(CC126&lt;0,CC127&gt;=0),CA127,"")</f>
        <v/>
      </c>
    </row>
    <row r="128">
      <c r="V128" t="inlineStr">
        <is>
          <t>ca1 Y</t>
        </is>
      </c>
      <c r="W128" s="109">
        <f>IF(AND($W$95&lt;1.5*$W$126,$W$96&lt;1.5*$W$126,$C$9&lt;1.5*$W$126),MAX(MAX($W$95,$W$96)/1.5,$C$9/1.5,$W$127/3),$W$126)</f>
        <v>20.0</v>
      </c>
      <c r="CA128" t="n">
        <v>88</v>
      </c>
      <c r="CB128" s="101">
        <f>2*$W$142*CA128/200</f>
        <v>70.4</v>
      </c>
      <c r="CC128" s="101">
        <f>0.447*$W$45*$W$143*MIN(0.8*CB128,$W$142)+SUMPRODUCT($BO$25:$BO$36,(ABS((2000000*0.003*(CB128-$BN$25:$BN$36)/CB128)+$W$146)-ABS((2000000*0.003*(CB128-$BN$25:$BN$36)/CB128)-$W$146))/2)-$W$139*1000</f>
        <v>419422.589950884</v>
      </c>
      <c r="CD128" s="101">
        <f>(0.447*$W$45*$W$143*MIN(0.8*CB128,$W$142)*($W$142/2-MIN(0.8*CB128,$W$142)/2)+SUMPRODUCT($BO$25:$BO$36,(ABS((2000000*0.003*(CB128-$BN$25:$BN$36)/CB128)+$W$146)-ABS((2000000*0.003*(CB128-$BN$25:$BN$36)/CB128)-$W$146))/2,($W$142/2-$BN$25:$BN$36)))/100000</f>
        <v>60.2917893937657</v>
      </c>
      <c r="CE128" s="101">
        <f>IF(AND(CC127&lt;0,CC128&gt;=0),CA128,"")</f>
        <v/>
      </c>
    </row>
    <row r="129">
      <c r="V129" t="inlineStr">
        <is>
          <t>Avc Y</t>
        </is>
      </c>
      <c r="W129" s="109">
        <f>(MIN($W$95,1.5*$W$128)+$W$127+MIN($W$96,1.5*$W$128))*MIN(1.5*$W$128,$C$9)</f>
        <v>2400.0</v>
      </c>
      <c r="CA129" t="n">
        <v>89</v>
      </c>
      <c r="CB129" s="101">
        <f>2*$W$142*CA129/200</f>
        <v>71.2</v>
      </c>
      <c r="CC129" s="101">
        <f>0.447*$W$45*$W$143*MIN(0.8*CB129,$W$142)+SUMPRODUCT($BO$25:$BO$36,(ABS((2000000*0.003*(CB129-$BN$25:$BN$36)/CB129)+$W$146)-ABS((2000000*0.003*(CB129-$BN$25:$BN$36)/CB129)-$W$146))/2)-$W$139*1000</f>
        <v>424969.759544218</v>
      </c>
      <c r="CD129" s="101">
        <f>(0.447*$W$45*$W$143*MIN(0.8*CB129,$W$142)*($W$142/2-MIN(0.8*CB129,$W$142)/2)+SUMPRODUCT($BO$25:$BO$36,(ABS((2000000*0.003*(CB129-$BN$25:$BN$36)/CB129)+$W$146)-ABS((2000000*0.003*(CB129-$BN$25:$BN$36)/CB129)-$W$146))/2,($W$142/2-$BN$25:$BN$36)))/100000</f>
        <v>59.2390957232306</v>
      </c>
      <c r="CE129" s="101">
        <f>IF(AND(CC128&lt;0,CC129&gt;=0),CA129,"")</f>
        <v/>
      </c>
    </row>
    <row r="130">
      <c r="V130" t="inlineStr">
        <is>
          <t>Avco Y</t>
        </is>
      </c>
      <c r="W130" s="109">
        <f>4.5*$W$128^2</f>
        <v>1800.0</v>
      </c>
      <c r="CA130" t="n">
        <v>90</v>
      </c>
      <c r="CB130" s="101">
        <f>2*$W$142*CA130/200</f>
        <v>72.0</v>
      </c>
      <c r="CC130" s="101">
        <f>0.447*$W$45*$W$143*MIN(0.8*CB130,$W$142)+SUMPRODUCT($BO$25:$BO$36,(ABS((2000000*0.003*(CB130-$BN$25:$BN$36)/CB130)+$W$146)-ABS((2000000*0.003*(CB130-$BN$25:$BN$36)/CB130)-$W$146))/2)-$W$139*1000</f>
        <v>430489.018702145</v>
      </c>
      <c r="CD130" s="101">
        <f>(0.447*$W$45*$W$143*MIN(0.8*CB130,$W$142)*($W$142/2-MIN(0.8*CB130,$W$142)/2)+SUMPRODUCT($BO$25:$BO$36,(ABS((2000000*0.003*(CB130-$BN$25:$BN$36)/CB130)+$W$146)-ABS((2000000*0.003*(CB130-$BN$25:$BN$36)/CB130)-$W$146))/2,($W$142/2-$BN$25:$BN$36)))/100000</f>
        <v>58.1664636613741</v>
      </c>
      <c r="CE130" s="101">
        <f>IF(AND(CC129&lt;0,CC130&gt;=0),CA130,"")</f>
        <v/>
      </c>
    </row>
    <row r="131">
      <c r="V131" t="inlineStr">
        <is>
          <t>psi ed Y</t>
        </is>
      </c>
      <c r="W131" s="109">
        <f>IF(MIN($W$95,$W$96)&gt;=1.5*$W$128,1,0.7+0.3*MIN($W$95,$W$96)/(1.5*$W$128))</f>
        <v>0.85</v>
      </c>
      <c r="CA131" t="n">
        <v>91</v>
      </c>
      <c r="CB131" s="101">
        <f>2*$W$142*CA131/200</f>
        <v>72.8</v>
      </c>
      <c r="CC131" s="101">
        <f>0.447*$W$45*$W$143*MIN(0.8*CB131,$W$142)+SUMPRODUCT($BO$25:$BO$36,(ABS((2000000*0.003*(CB131-$BN$25:$BN$36)/CB131)+$W$146)-ABS((2000000*0.003*(CB131-$BN$25:$BN$36)/CB131)-$W$146))/2)-$W$139*1000</f>
        <v>435981.287548908</v>
      </c>
      <c r="CD131" s="101">
        <f>(0.447*$W$45*$W$143*MIN(0.8*CB131,$W$142)*($W$142/2-MIN(0.8*CB131,$W$142)/2)+SUMPRODUCT($BO$25:$BO$36,(ABS((2000000*0.003*(CB131-$BN$25:$BN$36)/CB131)+$W$146)-ABS((2000000*0.003*(CB131-$BN$25:$BN$36)/CB131)-$W$146))/2,($W$142/2-$BN$25:$BN$36)))/100000</f>
        <v>57.0736451217563</v>
      </c>
      <c r="CE131" s="101">
        <f>IF(AND(CC130&lt;0,CC131&gt;=0),CA131,"")</f>
        <v/>
      </c>
    </row>
    <row r="132">
      <c r="V132" t="inlineStr">
        <is>
          <t>psi h Y</t>
        </is>
      </c>
      <c r="W132" s="109">
        <f>MAX(1,SQRT(1.5*$W$128/$C$9))</f>
        <v>1.0</v>
      </c>
      <c r="CA132" t="n">
        <v>92</v>
      </c>
      <c r="CB132" s="101">
        <f>2*$W$142*CA132/200</f>
        <v>73.6</v>
      </c>
      <c r="CC132" s="101">
        <f>0.447*$W$45*$W$143*MIN(0.8*CB132,$W$142)+SUMPRODUCT($BO$25:$BO$36,(ABS((2000000*0.003*(CB132-$BN$25:$BN$36)/CB132)+$W$146)-ABS((2000000*0.003*(CB132-$BN$25:$BN$36)/CB132)-$W$146))/2)-$W$139*1000</f>
        <v>441447.44620335</v>
      </c>
      <c r="CD132" s="101">
        <f>(0.447*$W$45*$W$143*MIN(0.8*CB132,$W$142)*($W$142/2-MIN(0.8*CB132,$W$142)/2)+SUMPRODUCT($BO$25:$BO$36,(ABS((2000000*0.003*(CB132-$BN$25:$BN$36)/CB132)+$W$146)-ABS((2000000*0.003*(CB132-$BN$25:$BN$36)/CB132)-$W$146))/2,($W$142/2-$BN$25:$BN$36)))/100000</f>
        <v>55.960402804304</v>
      </c>
      <c r="CE132" s="101">
        <f>IF(AND(CC131&lt;0,CC132&gt;=0),CA132,"")</f>
        <v/>
      </c>
    </row>
    <row r="133">
      <c r="V133" t="inlineStr">
        <is>
          <t>Vb Y</t>
        </is>
      </c>
      <c r="W133" s="109">
        <f>MIN(0.6*($W$113/$W$48)^0.2*SQRT($W$48),3.7)*SQRT($W$46)*($W$128*10)^1.5/1000</f>
        <v>46.3405975403011</v>
      </c>
      <c r="CA133" t="n">
        <v>93</v>
      </c>
      <c r="CB133" s="101">
        <f>2*$W$142*CA133/200</f>
        <v>74.4</v>
      </c>
      <c r="CC133" s="101">
        <f>0.447*$W$45*$W$143*MIN(0.8*CB133,$W$142)+SUMPRODUCT($BO$25:$BO$36,(ABS((2000000*0.003*(CB133-$BN$25:$BN$36)/CB133)+$W$146)-ABS((2000000*0.003*(CB133-$BN$25:$BN$36)/CB133)-$W$146))/2)-$W$139*1000</f>
        <v>446888.33692974</v>
      </c>
      <c r="CD133" s="101">
        <f>(0.447*$W$45*$W$143*MIN(0.8*CB133,$W$142)*($W$142/2-MIN(0.8*CB133,$W$142)/2)+SUMPRODUCT($BO$25:$BO$36,(ABS((2000000*0.003*(CB133-$BN$25:$BN$36)/CB133)+$W$146)-ABS((2000000*0.003*(CB133-$BN$25:$BN$36)/CB133)-$W$146))/2,($W$142/2-$BN$25:$BN$36)))/100000</f>
        <v>54.826509615399</v>
      </c>
      <c r="CE133" s="101">
        <f>IF(AND(CC132&lt;0,CC133&gt;=0),CA133,"")</f>
        <v/>
      </c>
    </row>
    <row r="134">
      <c r="V134" t="inlineStr">
        <is>
          <t>Vcbg Y</t>
        </is>
      </c>
      <c r="W134" s="109">
        <f>MIN($W$129/$W$130,$W$55)*$W$131*$W$112*$W$132*$W$133</f>
        <v>63.0232126548094</v>
      </c>
      <c r="CA134" t="n">
        <v>94</v>
      </c>
      <c r="CB134" s="101">
        <f>2*$W$142*CA134/200</f>
        <v>75.2</v>
      </c>
      <c r="CC134" s="101">
        <f>0.447*$W$45*$W$143*MIN(0.8*CB134,$W$142)+SUMPRODUCT($BO$25:$BO$36,(ABS((2000000*0.003*(CB134-$BN$25:$BN$36)/CB134)+$W$146)-ABS((2000000*0.003*(CB134-$BN$25:$BN$36)/CB134)-$W$146))/2)-$W$139*1000</f>
        <v>452304.766151313</v>
      </c>
      <c r="CD134" s="101">
        <f>(0.447*$W$45*$W$143*MIN(0.8*CB134,$W$142)*($W$142/2-MIN(0.8*CB134,$W$142)/2)+SUMPRODUCT($BO$25:$BO$36,(ABS((2000000*0.003*(CB134-$BN$25:$BN$36)/CB134)+$W$146)-ABS((2000000*0.003*(CB134-$BN$25:$BN$36)/CB134)-$W$146))/2,($W$142/2-$BN$25:$BN$36)))/100000</f>
        <v>53.6717481249815</v>
      </c>
      <c r="CE134" s="101">
        <f>IF(AND(CC133&lt;0,CC134&gt;=0),CA134,"")</f>
        <v/>
      </c>
    </row>
    <row r="135">
      <c r="V135" t="inlineStr">
        <is>
          <t>cap Y</t>
        </is>
      </c>
      <c r="W135" s="109">
        <f>$W$52*$W$134/$W$53</f>
        <v>31.5116063274047</v>
      </c>
      <c r="CA135" t="n">
        <v>95</v>
      </c>
      <c r="CB135" s="101">
        <f>2*$W$142*CA135/200</f>
        <v>76.0</v>
      </c>
      <c r="CC135" s="101">
        <f>0.447*$W$45*$W$143*MIN(0.8*CB135,$W$142)+SUMPRODUCT($BO$25:$BO$36,(ABS((2000000*0.003*(CB135-$BN$25:$BN$36)/CB135)+$W$146)-ABS((2000000*0.003*(CB135-$BN$25:$BN$36)/CB135)-$W$146))/2)-$W$139*1000</f>
        <v>457697.506336642</v>
      </c>
      <c r="CD135" s="101">
        <f>(0.447*$W$45*$W$143*MIN(0.8*CB135,$W$142)*($W$142/2-MIN(0.8*CB135,$W$142)/2)+SUMPRODUCT($BO$25:$BO$36,(ABS((2000000*0.003*(CB135-$BN$25:$BN$36)/CB135)+$W$146)-ABS((2000000*0.003*(CB135-$BN$25:$BN$36)/CB135)-$W$146))/2,($W$142/2-$BN$25:$BN$36)))/100000</f>
        <v>52.4959100579411</v>
      </c>
      <c r="CE135" s="101">
        <f>IF(AND(CC134&lt;0,CC135&gt;=0),CA135,"")</f>
        <v/>
      </c>
    </row>
    <row r="136">
      <c r="V136" t="inlineStr">
        <is>
          <t>dem Y</t>
        </is>
      </c>
      <c r="W136" s="109">
        <f>SUM($AO$25:$AO$36)*9.81</f>
        <v>9.81</v>
      </c>
      <c r="CA136" t="n">
        <v>96</v>
      </c>
      <c r="CB136" s="101">
        <f>2*$W$142*CA136/200</f>
        <v>76.8</v>
      </c>
      <c r="CC136" s="101">
        <f>0.447*$W$45*$W$143*MIN(0.8*CB136,$W$142)+SUMPRODUCT($BO$25:$BO$36,(ABS((2000000*0.003*(CB136-$BN$25:$BN$36)/CB136)+$W$146)-ABS((2000000*0.003*(CB136-$BN$25:$BN$36)/CB136)-$W$146))/2)-$W$139*1000</f>
        <v>463067.29776811</v>
      </c>
      <c r="CD136" s="101">
        <f>(0.447*$W$45*$W$143*MIN(0.8*CB136,$W$142)*($W$142/2-MIN(0.8*CB136,$W$142)/2)+SUMPRODUCT($BO$25:$BO$36,(ABS((2000000*0.003*(CB136-$BN$25:$BN$36)/CB136)+$W$146)-ABS((2000000*0.003*(CB136-$BN$25:$BN$36)/CB136)-$W$146))/2,($W$142/2-$BN$25:$BN$36)))/100000</f>
        <v>51.2987958172974</v>
      </c>
      <c r="CE136" s="101">
        <f>IF(AND(CC135&lt;0,CC136&gt;=0),CA136,"")</f>
        <v/>
      </c>
    </row>
    <row r="137">
      <c r="V137" t="inlineStr">
        <is>
          <t>status Y</t>
        </is>
      </c>
      <c r="W137" s="109" t="str">
        <f>IF($W$136=0,"N/A",IF($W$135&gt;=$W$136,"Safe",IF($W$51,"By Rft.","Un-Safe")))</f>
        <v>Safe</v>
      </c>
      <c r="CA137" t="n">
        <v>97</v>
      </c>
      <c r="CB137" s="101">
        <f>2*$W$142*CA137/200</f>
        <v>77.6</v>
      </c>
      <c r="CC137" s="101">
        <f>0.447*$W$45*$W$143*MIN(0.8*CB137,$W$142)+SUMPRODUCT($BO$25:$BO$36,(ABS((2000000*0.003*(CB137-$BN$25:$BN$36)/CB137)+$W$146)-ABS((2000000*0.003*(CB137-$BN$25:$BN$36)/CB137)-$W$146))/2)-$W$139*1000</f>
        <v>468414.850200991</v>
      </c>
      <c r="CD137" s="101">
        <f>(0.447*$W$45*$W$143*MIN(0.8*CB137,$W$142)*($W$142/2-MIN(0.8*CB137,$W$142)/2)+SUMPRODUCT($BO$25:$BO$36,(ABS((2000000*0.003*(CB137-$BN$25:$BN$36)/CB137)+$W$146)-ABS((2000000*0.003*(CB137-$BN$25:$BN$36)/CB137)-$W$146))/2,($W$142/2-$BN$25:$BN$36)))/100000</f>
        <v>50.0802140368732</v>
      </c>
      <c r="CE137" s="101">
        <f>IF(AND(CC136&lt;0,CC137&gt;=0),CA137,"")</f>
        <v/>
      </c>
    </row>
    <row r="138">
      <c r="V138" t="inlineStr">
        <is>
          <t>to ultimate</t>
        </is>
      </c>
      <c r="W138" s="109">
        <f>IF($W$40,1.5,1)</f>
        <v>1.5</v>
      </c>
      <c r="CA138" t="n">
        <v>98</v>
      </c>
      <c r="CB138" s="101">
        <f>2*$W$142*CA138/200</f>
        <v>78.4</v>
      </c>
      <c r="CC138" s="101">
        <f>0.447*$W$45*$W$143*MIN(0.8*CB138,$W$142)+SUMPRODUCT($BO$25:$BO$36,(ABS((2000000*0.003*(CB138-$BN$25:$BN$36)/CB138)+$W$146)-ABS((2000000*0.003*(CB138-$BN$25:$BN$36)/CB138)-$W$146))/2)-$W$139*1000</f>
        <v>473740.844420957</v>
      </c>
      <c r="CD138" s="101">
        <f>(0.447*$W$45*$W$143*MIN(0.8*CB138,$W$142)*($W$142/2-MIN(0.8*CB138,$W$142)/2)+SUMPRODUCT($BO$25:$BO$36,(ABS((2000000*0.003*(CB138-$BN$25:$BN$36)/CB138)+$W$146)-ABS((2000000*0.003*(CB138-$BN$25:$BN$36)/CB138)-$W$146))/2,($W$142/2-$BN$25:$BN$36)))/100000</f>
        <v>48.8399811613555</v>
      </c>
      <c r="CE138" s="101">
        <f>IF(AND(CC137&lt;0,CC138&gt;=0),CA138,"")</f>
        <v/>
      </c>
    </row>
    <row r="139">
      <c r="V139" t="inlineStr">
        <is>
          <t>Nu ton</t>
        </is>
      </c>
      <c r="W139" s="109">
        <f>$W$138*'1-Base Plate'!$W$73</f>
        <v>30.0</v>
      </c>
      <c r="CA139" t="n">
        <v>99</v>
      </c>
      <c r="CB139" s="101">
        <f>2*$W$142*CA139/200</f>
        <v>79.2</v>
      </c>
      <c r="CC139" s="101">
        <f>0.447*$W$45*$W$143*MIN(0.8*CB139,$W$142)+SUMPRODUCT($BO$25:$BO$36,(ABS((2000000*0.003*(CB139-$BN$25:$BN$36)/CB139)+$W$146)-ABS((2000000*0.003*(CB139-$BN$25:$BN$36)/CB139)-$W$146))/2)-$W$139*1000</f>
        <v>479045.933707186</v>
      </c>
      <c r="CD139" s="101">
        <f>(0.447*$W$45*$W$143*MIN(0.8*CB139,$W$142)*($W$142/2-MIN(0.8*CB139,$W$142)/2)+SUMPRODUCT($BO$25:$BO$36,(ABS((2000000*0.003*(CB139-$BN$25:$BN$36)/CB139)+$W$146)-ABS((2000000*0.003*(CB139-$BN$25:$BN$36)/CB139)-$W$146))/2,($W$142/2-$BN$25:$BN$36)))/100000</f>
        <v>47.577921051808</v>
      </c>
      <c r="CE139" s="101">
        <f>IF(AND(CC138&lt;0,CC139&gt;=0),CA139,"")</f>
        <v/>
      </c>
    </row>
    <row r="140">
      <c r="V140" t="inlineStr">
        <is>
          <t>V along M</t>
        </is>
      </c>
      <c r="W140" s="109">
        <f>IF($W$41,0,ABS(IF($W$42,N('1-Base Plate'!$C$32),N('1-Base Plate'!$C$33))))</f>
        <v>3.0</v>
      </c>
      <c r="CA140" t="n">
        <v>100</v>
      </c>
      <c r="CB140" s="101">
        <f>2*$W$142*CA140/200</f>
        <v>80.0</v>
      </c>
      <c r="CC140" s="101">
        <f>0.447*$W$45*$W$143*MIN(0.8*CB140,$W$142)+SUMPRODUCT($BO$25:$BO$36,(ABS((2000000*0.003*(CB140-$BN$25:$BN$36)/CB140)+$W$146)-ABS((2000000*0.003*(CB140-$BN$25:$BN$36)/CB140)-$W$146))/2)-$W$139*1000</f>
        <v>484330.74520769</v>
      </c>
      <c r="CD140" s="101">
        <f>(0.447*$W$45*$W$143*MIN(0.8*CB140,$W$142)*($W$142/2-MIN(0.8*CB140,$W$142)/2)+SUMPRODUCT($BO$25:$BO$36,(ABS((2000000*0.003*(CB140-$BN$25:$BN$36)/CB140)+$W$146)-ABS((2000000*0.003*(CB140-$BN$25:$BN$36)/CB140)-$W$146))/2,($W$142/2-$BN$25:$BN$36)))/100000</f>
        <v>46.2938646148514</v>
      </c>
      <c r="CE140" s="101">
        <f>IF(AND(CC139&lt;0,CC140&gt;=0),CA140,"")</f>
        <v/>
      </c>
    </row>
    <row r="141">
      <c r="V141" t="inlineStr">
        <is>
          <t>Mu base t.m</t>
        </is>
      </c>
      <c r="W141" s="109">
        <f>$W$138*('1-Base Plate'!$W$76/100+$W$140*$C$9/100)</f>
        <v>18.75</v>
      </c>
      <c r="CA141" t="n">
        <v>101</v>
      </c>
      <c r="CB141" s="101">
        <f>2*$W$142*CA141/200</f>
        <v>80.8</v>
      </c>
      <c r="CC141" s="101">
        <f>0.447*$W$45*$W$143*MIN(0.8*CB141,$W$142)+SUMPRODUCT($BO$25:$BO$36,(ABS((2000000*0.003*(CB141-$BN$25:$BN$36)/CB141)+$W$146)-ABS((2000000*0.003*(CB141-$BN$25:$BN$36)/CB141)-$W$146))/2)-$W$139*1000</f>
        <v>489595.881232936</v>
      </c>
      <c r="CD141" s="101">
        <f>(0.447*$W$45*$W$143*MIN(0.8*CB141,$W$142)*($W$142/2-MIN(0.8*CB141,$W$142)/2)+SUMPRODUCT($BO$25:$BO$36,(ABS((2000000*0.003*(CB141-$BN$25:$BN$36)/CB141)+$W$146)-ABS((2000000*0.003*(CB141-$BN$25:$BN$36)/CB141)-$W$146))/2,($W$142/2-$BN$25:$BN$36)))/100000</f>
        <v>44.9876494538741</v>
      </c>
      <c r="CE141" s="101">
        <f>IF(AND(CC140&lt;0,CC141&gt;=0),CA141,"")</f>
        <v/>
      </c>
    </row>
    <row r="142">
      <c r="V142" t="inlineStr">
        <is>
          <t>h section</t>
        </is>
      </c>
      <c r="W142" s="109">
        <f>IF($W$42,$W$43,$W$44)</f>
        <v>80.0</v>
      </c>
      <c r="CA142" t="n">
        <v>102</v>
      </c>
      <c r="CB142" s="101">
        <f>2*$W$142*CA142/200</f>
        <v>81.6</v>
      </c>
      <c r="CC142" s="101">
        <f>0.447*$W$45*$W$143*MIN(0.8*CB142,$W$142)+SUMPRODUCT($BO$25:$BO$36,(ABS((2000000*0.003*(CB142-$BN$25:$BN$36)/CB142)+$W$146)-ABS((2000000*0.003*(CB142-$BN$25:$BN$36)/CB142)-$W$146))/2)-$W$139*1000</f>
        <v>494841.920473374</v>
      </c>
      <c r="CD142" s="101">
        <f>(0.447*$W$45*$W$143*MIN(0.8*CB142,$W$142)*($W$142/2-MIN(0.8*CB142,$W$142)/2)+SUMPRODUCT($BO$25:$BO$36,(ABS((2000000*0.003*(CB142-$BN$25:$BN$36)/CB142)+$W$146)-ABS((2000000*0.003*(CB142-$BN$25:$BN$36)/CB142)-$W$146))/2,($W$142/2-$BN$25:$BN$36)))/100000</f>
        <v>43.6591195407591</v>
      </c>
      <c r="CE142" s="101">
        <f>IF(AND(CC141&lt;0,CC142&gt;=0),CA142,"")</f>
        <v/>
      </c>
    </row>
    <row r="143">
      <c r="V143" t="inlineStr">
        <is>
          <t>b section</t>
        </is>
      </c>
      <c r="W143" s="109">
        <f>IF($W$42,$W$44,$W$43)</f>
        <v>60.0</v>
      </c>
      <c r="CA143" t="n">
        <v>103</v>
      </c>
      <c r="CB143" s="101">
        <f>2*$W$142*CA143/200</f>
        <v>82.4</v>
      </c>
      <c r="CC143" s="101">
        <f>0.447*$W$45*$W$143*MIN(0.8*CB143,$W$142)+SUMPRODUCT($BO$25:$BO$36,(ABS((2000000*0.003*(CB143-$BN$25:$BN$36)/CB143)+$W$146)-ABS((2000000*0.003*(CB143-$BN$25:$BN$36)/CB143)-$W$146))/2)-$W$139*1000</f>
        <v>500069.419146036</v>
      </c>
      <c r="CD143" s="101">
        <f>(0.447*$W$45*$W$143*MIN(0.8*CB143,$W$142)*($W$142/2-MIN(0.8*CB143,$W$142)/2)+SUMPRODUCT($BO$25:$BO$36,(ABS((2000000*0.003*(CB143-$BN$25:$BN$36)/CB143)+$W$146)-ABS((2000000*0.003*(CB143-$BN$25:$BN$36)/CB143)-$W$146))/2,($W$142/2-$BN$25:$BN$36)))/100000</f>
        <v>42.3081249067337</v>
      </c>
      <c r="CE143" s="101">
        <f>IF(AND(CC142&lt;0,CC143&gt;=0),CA143,"")</f>
        <v/>
      </c>
    </row>
    <row r="144">
      <c r="V144" t="inlineStr">
        <is>
          <t>d'</t>
        </is>
      </c>
      <c r="W144" s="109">
        <f>$C$10+$F$10/10+$F$9/20</f>
        <v>6.8</v>
      </c>
      <c r="CA144" t="n">
        <v>104</v>
      </c>
      <c r="CB144" s="101">
        <f>2*$W$142*CA144/200</f>
        <v>83.2</v>
      </c>
      <c r="CC144" s="101">
        <f>0.447*$W$45*$W$143*MIN(0.8*CB144,$W$142)+SUMPRODUCT($BO$25:$BO$36,(ABS((2000000*0.003*(CB144-$BN$25:$BN$36)/CB144)+$W$146)-ABS((2000000*0.003*(CB144-$BN$25:$BN$36)/CB144)-$W$146))/2)-$W$139*1000</f>
        <v>505278.912074994</v>
      </c>
      <c r="CD144" s="101">
        <f>(0.447*$W$45*$W$143*MIN(0.8*CB144,$W$142)*($W$142/2-MIN(0.8*CB144,$W$142)/2)+SUMPRODUCT($BO$25:$BO$36,(ABS((2000000*0.003*(CB144-$BN$25:$BN$36)/CB144)+$W$146)-ABS((2000000*0.003*(CB144-$BN$25:$BN$36)/CB144)-$W$146))/2,($W$142/2-$BN$25:$BN$36)))/100000</f>
        <v>40.934521351055</v>
      </c>
      <c r="CE144" s="101">
        <f>IF(AND(CC143&lt;0,CC144&gt;=0),CA144,"")</f>
        <v/>
      </c>
    </row>
    <row r="145">
      <c r="V145" t="inlineStr">
        <is>
          <t>d</t>
        </is>
      </c>
      <c r="W145" s="109">
        <f>$W$142-$W$144</f>
        <v>73.2</v>
      </c>
      <c r="CA145" t="n">
        <v>105</v>
      </c>
      <c r="CB145" s="101">
        <f>2*$W$142*CA145/200</f>
        <v>84.0</v>
      </c>
      <c r="CC145" s="101">
        <f>0.447*$W$45*$W$143*MIN(0.8*CB145,$W$142)+SUMPRODUCT($BO$25:$BO$36,(ABS((2000000*0.003*(CB145-$BN$25:$BN$36)/CB145)+$W$146)-ABS((2000000*0.003*(CB145-$BN$25:$BN$36)/CB145)-$W$146))/2)-$W$139*1000</f>
        <v>510470.913710066</v>
      </c>
      <c r="CD145" s="101">
        <f>(0.447*$W$45*$W$143*MIN(0.8*CB145,$W$142)*($W$142/2-MIN(0.8*CB145,$W$142)/2)+SUMPRODUCT($BO$25:$BO$36,(ABS((2000000*0.003*(CB145-$BN$25:$BN$36)/CB145)+$W$146)-ABS((2000000*0.003*(CB145-$BN$25:$BN$36)/CB145)-$W$146))/2,($W$142/2-$BN$25:$BN$36)))/100000</f>
        <v>39.5381701663416</v>
      </c>
      <c r="CE145" s="101">
        <f>IF(AND(CC144&lt;0,CC145&gt;=0),CA145,"")</f>
        <v/>
      </c>
    </row>
    <row r="146">
      <c r="V146" t="inlineStr">
        <is>
          <t>fy/1.15</t>
        </is>
      </c>
      <c r="W146" s="109">
        <f>$W$54/1.15</f>
        <v>3130.4347826087</v>
      </c>
      <c r="CA146" t="n">
        <v>106</v>
      </c>
      <c r="CB146" s="101">
        <f>2*$W$142*CA146/200</f>
        <v>84.8</v>
      </c>
      <c r="CC146" s="101">
        <f>0.447*$W$45*$W$143*MIN(0.8*CB146,$W$142)+SUMPRODUCT($BO$25:$BO$36,(ABS((2000000*0.003*(CB146-$BN$25:$BN$36)/CB146)+$W$146)-ABS((2000000*0.003*(CB146-$BN$25:$BN$36)/CB146)-$W$146))/2)-$W$139*1000</f>
        <v>515645.919087873</v>
      </c>
      <c r="CD146" s="101">
        <f>(0.447*$W$45*$W$143*MIN(0.8*CB146,$W$142)*($W$142/2-MIN(0.8*CB146,$W$142)/2)+SUMPRODUCT($BO$25:$BO$36,(ABS((2000000*0.003*(CB146-$BN$25:$BN$36)/CB146)+$W$146)-ABS((2000000*0.003*(CB146-$BN$25:$BN$36)/CB146)-$W$146))/2,($W$142/2-$BN$25:$BN$36)))/100000</f>
        <v>38.118937879453</v>
      </c>
      <c r="CE146" s="101">
        <f>IF(AND(CC145&lt;0,CC146&gt;=0),CA146,"")</f>
        <v/>
      </c>
    </row>
    <row r="147">
      <c r="V147" t="inlineStr">
        <is>
          <t>Mus kg.cm</t>
        </is>
      </c>
      <c r="W147" s="120">
        <f>$W$141*100000+$W$139*1000*($W$145-$W$142/2)</f>
        <v>2871000.0</v>
      </c>
      <c r="CA147" t="n">
        <v>107</v>
      </c>
      <c r="CB147" s="101">
        <f>2*$W$142*CA147/200</f>
        <v>85.6</v>
      </c>
      <c r="CC147" s="101">
        <f>0.447*$W$45*$W$143*MIN(0.8*CB147,$W$142)+SUMPRODUCT($BO$25:$BO$36,(ABS((2000000*0.003*(CB147-$BN$25:$BN$36)/CB147)+$W$146)-ABS((2000000*0.003*(CB147-$BN$25:$BN$36)/CB147)-$W$146))/2)-$W$139*1000</f>
        <v>520804.404738992</v>
      </c>
      <c r="CD147" s="101">
        <f>(0.447*$W$45*$W$143*MIN(0.8*CB147,$W$142)*($W$142/2-MIN(0.8*CB147,$W$142)/2)+SUMPRODUCT($BO$25:$BO$36,(ABS((2000000*0.003*(CB147-$BN$25:$BN$36)/CB147)+$W$146)-ABS((2000000*0.003*(CB147-$BN$25:$BN$36)/CB147)-$W$146))/2,($W$142/2-$BN$25:$BN$36)))/100000</f>
        <v>36.6766960068987</v>
      </c>
      <c r="CE147" s="101">
        <f>IF(AND(CC146&lt;0,CC147&gt;=0),CA147,"")</f>
        <v/>
      </c>
    </row>
    <row r="148">
      <c r="V148" t="inlineStr">
        <is>
          <t>disc</t>
        </is>
      </c>
      <c r="W148" s="109">
        <f>$W$145^2-2*$W$147/(0.447*$W$45*$W$143)</f>
        <v>4501.86416107383</v>
      </c>
      <c r="CA148" t="n">
        <v>108</v>
      </c>
      <c r="CB148" s="101">
        <f>2*$W$142*CA148/200</f>
        <v>86.4</v>
      </c>
      <c r="CC148" s="101">
        <f>0.447*$W$45*$W$143*MIN(0.8*CB148,$W$142)+SUMPRODUCT($BO$25:$BO$36,(ABS((2000000*0.003*(CB148-$BN$25:$BN$36)/CB148)+$W$146)-ABS((2000000*0.003*(CB148-$BN$25:$BN$36)/CB148)-$W$146))/2)-$W$139*1000</f>
        <v>525946.82954472</v>
      </c>
      <c r="CD148" s="101">
        <f>(0.447*$W$45*$W$143*MIN(0.8*CB148,$W$142)*($W$142/2-MIN(0.8*CB148,$W$142)/2)+SUMPRODUCT($BO$25:$BO$36,(ABS((2000000*0.003*(CB148-$BN$25:$BN$36)/CB148)+$W$146)-ABS((2000000*0.003*(CB148-$BN$25:$BN$36)/CB148)-$W$146))/2,($W$142/2-$BN$25:$BN$36)))/100000</f>
        <v>35.2113208238362</v>
      </c>
      <c r="CE148" s="101">
        <f>IF(AND(CC147&lt;0,CC148&gt;=0),CA148,"")</f>
        <v/>
      </c>
    </row>
    <row r="149">
      <c r="V149" t="inlineStr">
        <is>
          <t>a</t>
        </is>
      </c>
      <c r="W149" s="109">
        <f>IF($W$147&gt;0,IF($W$148&gt;=0,$W$145-SQRT($W$148),""),0)</f>
        <v>6.10406747742583</v>
      </c>
      <c r="CA149" t="n">
        <v>109</v>
      </c>
      <c r="CB149" s="101">
        <f>2*$W$142*CA149/200</f>
        <v>87.2</v>
      </c>
      <c r="CC149" s="101">
        <f>0.447*$W$45*$W$143*MIN(0.8*CB149,$W$142)+SUMPRODUCT($BO$25:$BO$36,(ABS((2000000*0.003*(CB149-$BN$25:$BN$36)/CB149)+$W$146)-ABS((2000000*0.003*(CB149-$BN$25:$BN$36)/CB149)-$W$146))/2)-$W$139*1000</f>
        <v>531073.635546673</v>
      </c>
      <c r="CD149" s="101">
        <f>(0.447*$W$45*$W$143*MIN(0.8*CB149,$W$142)*($W$142/2-MIN(0.8*CB149,$W$142)/2)+SUMPRODUCT($BO$25:$BO$36,(ABS((2000000*0.003*(CB149-$BN$25:$BN$36)/CB149)+$W$146)-ABS((2000000*0.003*(CB149-$BN$25:$BN$36)/CB149)-$W$146))/2,($W$142/2-$BN$25:$BN$36)))/100000</f>
        <v>33.722693145784</v>
      </c>
      <c r="CE149" s="101">
        <f>IF(AND(CC148&lt;0,CC149&gt;=0),CA149,"")</f>
        <v/>
      </c>
    </row>
    <row r="150">
      <c r="V150" t="inlineStr">
        <is>
          <t>As face req</t>
        </is>
      </c>
      <c r="W150" s="109">
        <f>IF($W$147&lt;=0,MAX(0,(-$W$139*1000/2+$W$141*100000/($W$145-$W$144))/$W$146),IF($W$148&gt;=0,MAX(0,(0.447*$W$45*$W$143*$W$149-$W$139*1000)/$W$146),999))</f>
        <v>3.49081619487811</v>
      </c>
      <c r="CA150" t="n">
        <v>110</v>
      </c>
      <c r="CB150" s="101">
        <f>2*$W$142*CA150/200</f>
        <v>88.0</v>
      </c>
      <c r="CC150" s="101">
        <f>0.447*$W$45*$W$143*MIN(0.8*CB150,$W$142)+SUMPRODUCT($BO$25:$BO$36,(ABS((2000000*0.003*(CB150-$BN$25:$BN$36)/CB150)+$W$146)-ABS((2000000*0.003*(CB150-$BN$25:$BN$36)/CB150)-$W$146))/2)-$W$139*1000</f>
        <v>536185.248712227</v>
      </c>
      <c r="CD150" s="101">
        <f>(0.447*$W$45*$W$143*MIN(0.8*CB150,$W$142)*($W$142/2-MIN(0.8*CB150,$W$142)/2)+SUMPRODUCT($BO$25:$BO$36,(ABS((2000000*0.003*(CB150-$BN$25:$BN$36)/CB150)+$W$146)-ABS((2000000*0.003*(CB150-$BN$25:$BN$36)/CB150)-$W$146))/2,($W$142/2-$BN$25:$BN$36)))/100000</f>
        <v>32.2106981222418</v>
      </c>
      <c r="CE150" s="101">
        <f>IF(AND(CC149&lt;0,CC150&gt;=0),CA150,"")</f>
        <v/>
      </c>
    </row>
    <row r="151">
      <c r="V151" t="inlineStr">
        <is>
          <t>As min</t>
        </is>
      </c>
      <c r="W151" s="109">
        <f>IF($W$51,0.008*$W$43*$W$44,0)</f>
        <v>38.4</v>
      </c>
      <c r="CA151" t="n">
        <v>111</v>
      </c>
      <c r="CB151" s="101">
        <f>2*$W$142*CA151/200</f>
        <v>88.8</v>
      </c>
      <c r="CC151" s="101">
        <f>0.447*$W$45*$W$143*MIN(0.8*CB151,$W$142)+SUMPRODUCT($BO$25:$BO$36,(ABS((2000000*0.003*(CB151-$BN$25:$BN$36)/CB151)+$W$146)-ABS((2000000*0.003*(CB151-$BN$25:$BN$36)/CB151)-$W$146))/2)-$W$139*1000</f>
        <v>541282.079658581</v>
      </c>
      <c r="CD151" s="101">
        <f>(0.447*$W$45*$W$143*MIN(0.8*CB151,$W$142)*($W$142/2-MIN(0.8*CB151,$W$142)/2)+SUMPRODUCT($BO$25:$BO$36,(ABS((2000000*0.003*(CB151-$BN$25:$BN$36)/CB151)+$W$146)-ABS((2000000*0.003*(CB151-$BN$25:$BN$36)/CB151)-$W$146))/2,($W$142/2-$BN$25:$BN$36)))/100000</f>
        <v>30.6752250414662</v>
      </c>
      <c r="CE151" s="101">
        <f>IF(AND(CC150&lt;0,CC151&gt;=0),CA151,"")</f>
        <v/>
      </c>
    </row>
    <row r="152">
      <c r="V152" t="inlineStr">
        <is>
          <t>bar area</t>
        </is>
      </c>
      <c r="W152" s="109">
        <f>PI()*($F$9/10)^2/4</f>
        <v>2.01061929829747</v>
      </c>
      <c r="CA152" t="n">
        <v>112</v>
      </c>
      <c r="CB152" s="101">
        <f>2*$W$142*CA152/200</f>
        <v>89.6</v>
      </c>
      <c r="CC152" s="101">
        <f>0.447*$W$45*$W$143*MIN(0.8*CB152,$W$142)+SUMPRODUCT($BO$25:$BO$36,(ABS((2000000*0.003*(CB152-$BN$25:$BN$36)/CB152)+$W$146)-ABS((2000000*0.003*(CB152-$BN$25:$BN$36)/CB152)-$W$146))/2)-$W$139*1000</f>
        <v>546364.524338037</v>
      </c>
      <c r="CD152" s="101">
        <f>(0.447*$W$45*$W$143*MIN(0.8*CB152,$W$142)*($W$142/2-MIN(0.8*CB152,$W$142)/2)+SUMPRODUCT($BO$25:$BO$36,(ABS((2000000*0.003*(CB152-$BN$25:$BN$36)/CB152)+$W$146)-ABS((2000000*0.003*(CB152-$BN$25:$BN$36)/CB152)-$W$146))/2,($W$142/2-$BN$25:$BN$36)))/100000</f>
        <v>29.1161671457044</v>
      </c>
      <c r="CE152" s="101">
        <f>IF(AND(CC151&lt;0,CC152&gt;=0),CA152,"")</f>
        <v/>
      </c>
    </row>
    <row r="153">
      <c r="V153" t="inlineStr">
        <is>
          <t>tie area</t>
        </is>
      </c>
      <c r="W153" s="109">
        <f>PI()*($F$10/10)^2/4</f>
        <v>0.785398163397448</v>
      </c>
      <c r="CA153" t="n">
        <v>113</v>
      </c>
      <c r="CB153" s="101">
        <f>2*$W$142*CA153/200</f>
        <v>90.4</v>
      </c>
      <c r="CC153" s="101">
        <f>0.447*$W$45*$W$143*MIN(0.8*CB153,$W$142)+SUMPRODUCT($BO$25:$BO$36,(ABS((2000000*0.003*(CB153-$BN$25:$BN$36)/CB153)+$W$146)-ABS((2000000*0.003*(CB153-$BN$25:$BN$36)/CB153)-$W$146))/2)-$W$139*1000</f>
        <v>551432.964686882</v>
      </c>
      <c r="CD153" s="101">
        <f>(0.447*$W$45*$W$143*MIN(0.8*CB153,$W$142)*($W$142/2-MIN(0.8*CB153,$W$142)/2)+SUMPRODUCT($BO$25:$BO$36,(ABS((2000000*0.003*(CB153-$BN$25:$BN$36)/CB153)+$W$146)-ABS((2000000*0.003*(CB153-$BN$25:$BN$36)/CB153)-$W$146))/2,($W$142/2-$BN$25:$BN$36)))/100000</f>
        <v>27.5334214562393</v>
      </c>
      <c r="CE153" s="101">
        <f>IF(AND(CC152&lt;0,CC153&gt;=0),CA153,"")</f>
        <v/>
      </c>
    </row>
    <row r="154">
      <c r="V154" t="inlineStr">
        <is>
          <t>V for ties ton</t>
        </is>
      </c>
      <c r="W154" s="109">
        <f>$W$138*MAX(IF($W$125="By Rft.",$W$124,0),IF($W$137="By Rft.",$W$136,0))/9.81</f>
        <v>4.5</v>
      </c>
      <c r="CA154" t="n">
        <v>114</v>
      </c>
      <c r="CB154" s="101">
        <f>2*$W$142*CA154/200</f>
        <v>91.2</v>
      </c>
      <c r="CC154" s="101">
        <f>0.447*$W$45*$W$143*MIN(0.8*CB154,$W$142)+SUMPRODUCT($BO$25:$BO$36,(ABS((2000000*0.003*(CB154-$BN$25:$BN$36)/CB154)+$W$146)-ABS((2000000*0.003*(CB154-$BN$25:$BN$36)/CB154)-$W$146))/2)-$W$139*1000</f>
        <v>556487.769240134</v>
      </c>
      <c r="CD154" s="101">
        <f>(0.447*$W$45*$W$143*MIN(0.8*CB154,$W$142)*($W$142/2-MIN(0.8*CB154,$W$142)/2)+SUMPRODUCT($BO$25:$BO$36,(ABS((2000000*0.003*(CB154-$BN$25:$BN$36)/CB154)+$W$146)-ABS((2000000*0.003*(CB154-$BN$25:$BN$36)/CB154)-$W$146))/2,($W$142/2-$BN$25:$BN$36)))/100000</f>
        <v>25.9268886076419</v>
      </c>
      <c r="CE154" s="101">
        <f>IF(AND(CC153&lt;0,CC154&gt;=0),CA154,"")</f>
        <v/>
      </c>
    </row>
    <row r="155">
      <c r="V155" t="inlineStr">
        <is>
          <t>As shear</t>
        </is>
      </c>
      <c r="W155" s="109">
        <f>$W$154*1000/(0.75*$W$54)</f>
        <v>1.66666666666667</v>
      </c>
      <c r="CA155" t="n">
        <v>115</v>
      </c>
      <c r="CB155" s="101">
        <f>2*$W$142*CA155/200</f>
        <v>92.0</v>
      </c>
      <c r="CC155" s="101">
        <f>0.447*$W$45*$W$143*MIN(0.8*CB155,$W$142)+SUMPRODUCT($BO$25:$BO$36,(ABS((2000000*0.003*(CB155-$BN$25:$BN$36)/CB155)+$W$146)-ABS((2000000*0.003*(CB155-$BN$25:$BN$36)/CB155)-$W$146))/2)-$W$139*1000</f>
        <v>561529.293714199</v>
      </c>
      <c r="CD155" s="101">
        <f>(0.447*$W$45*$W$143*MIN(0.8*CB155,$W$142)*($W$142/2-MIN(0.8*CB155,$W$142)/2)+SUMPRODUCT($BO$25:$BO$36,(ABS((2000000*0.003*(CB155-$BN$25:$BN$36)/CB155)+$W$146)-ABS((2000000*0.003*(CB155-$BN$25:$BN$36)/CB155)-$W$146))/2,($W$142/2-$BN$25:$BN$36)))/100000</f>
        <v>24.2964726906724</v>
      </c>
      <c r="CE155" s="101">
        <f>IF(AND(CC154&lt;0,CC155&gt;=0),CA155,"")</f>
        <v/>
      </c>
    </row>
    <row r="156">
      <c r="V156" t="inlineStr">
        <is>
          <t>rN steel</t>
        </is>
      </c>
      <c r="W156" s="109">
        <f>MAX(0,'2-Anchor Bolt'!$C$10)/'2-Anchor Bolt'!$C$25</f>
        <v>0.470319616569926</v>
      </c>
      <c r="CA156" t="n">
        <v>116</v>
      </c>
      <c r="CB156" s="101">
        <f>2*$W$142*CA156/200</f>
        <v>92.8</v>
      </c>
      <c r="CC156" s="101">
        <f>0.447*$W$45*$W$143*MIN(0.8*CB156,$W$142)+SUMPRODUCT($BO$25:$BO$36,(ABS((2000000*0.003*(CB156-$BN$25:$BN$36)/CB156)+$W$146)-ABS((2000000*0.003*(CB156-$BN$25:$BN$36)/CB156)-$W$146))/2)-$W$139*1000</f>
        <v>566557.881559401</v>
      </c>
      <c r="CD156" s="101">
        <f>(0.447*$W$45*$W$143*MIN(0.8*CB156,$W$142)*($W$142/2-MIN(0.8*CB156,$W$142)/2)+SUMPRODUCT($BO$25:$BO$36,(ABS((2000000*0.003*(CB156-$BN$25:$BN$36)/CB156)+$W$146)-ABS((2000000*0.003*(CB156-$BN$25:$BN$36)/CB156)-$W$146))/2,($W$142/2-$BN$25:$BN$36)))/100000</f>
        <v>22.6420811033058</v>
      </c>
      <c r="CE156" s="101">
        <f>IF(AND(CC155&lt;0,CC156&gt;=0),CA156,"")</f>
        <v/>
      </c>
    </row>
    <row r="157">
      <c r="V157" t="inlineStr">
        <is>
          <t>rV steel</t>
        </is>
      </c>
      <c r="W157" s="109">
        <f>'1-Base Plate'!$W$125/'2-Anchor Bolt'!$C$50</f>
        <v>0.110298514364425</v>
      </c>
      <c r="CA157" t="n">
        <v>117</v>
      </c>
      <c r="CB157" s="101">
        <f>2*$W$142*CA157/200</f>
        <v>93.6</v>
      </c>
      <c r="CC157" s="101">
        <f>0.447*$W$45*$W$143*MIN(0.8*CB157,$W$142)+SUMPRODUCT($BO$25:$BO$36,(ABS((2000000*0.003*(CB157-$BN$25:$BN$36)/CB157)+$W$146)-ABS((2000000*0.003*(CB157-$BN$25:$BN$36)/CB157)-$W$146))/2)-$W$139*1000</f>
        <v>571573.864484172</v>
      </c>
      <c r="CD157" s="101">
        <f>(0.447*$W$45*$W$143*MIN(0.8*CB157,$W$142)*($W$142/2-MIN(0.8*CB157,$W$142)/2)+SUMPRODUCT($BO$25:$BO$36,(ABS((2000000*0.003*(CB157-$BN$25:$BN$36)/CB157)+$W$146)-ABS((2000000*0.003*(CB157-$BN$25:$BN$36)/CB157)-$W$146))/2,($W$142/2-$BN$25:$BN$36)))/100000</f>
        <v>20.9636244093985</v>
      </c>
      <c r="CE157" s="101">
        <f>IF(AND(CC156&lt;0,CC157&gt;=0),CA157,"")</f>
        <v/>
      </c>
    </row>
    <row r="158">
      <c r="V158" t="inlineStr">
        <is>
          <t>rV pryout</t>
        </is>
      </c>
      <c r="W158" s="109">
        <f>$W$110/$W$109</f>
        <v>0.217457981567926</v>
      </c>
      <c r="CA158" t="n">
        <v>118</v>
      </c>
      <c r="CB158" s="101">
        <f>2*$W$142*CA158/200</f>
        <v>94.4</v>
      </c>
      <c r="CC158" s="101">
        <f>0.447*$W$45*$W$143*MIN(0.8*CB158,$W$142)+SUMPRODUCT($BO$25:$BO$36,(ABS((2000000*0.003*(CB158-$BN$25:$BN$36)/CB158)+$W$146)-ABS((2000000*0.003*(CB158-$BN$25:$BN$36)/CB158)-$W$146))/2)-$W$139*1000</f>
        <v>576577.562952591</v>
      </c>
      <c r="CD158" s="101">
        <f>(0.447*$W$45*$W$143*MIN(0.8*CB158,$W$142)*($W$142/2-MIN(0.8*CB158,$W$142)/2)+SUMPRODUCT($BO$25:$BO$36,(ABS((2000000*0.003*(CB158-$BN$25:$BN$36)/CB158)+$W$146)-ABS((2000000*0.003*(CB158-$BN$25:$BN$36)/CB158)-$W$146))/2,($W$142/2-$BN$25:$BN$36)))/100000</f>
        <v>19.2610162045404</v>
      </c>
      <c r="CE158" s="101">
        <f>IF(AND(CC157&lt;0,CC158&gt;=0),CA158,"")</f>
        <v/>
      </c>
    </row>
    <row r="159">
      <c r="V159" t="inlineStr">
        <is>
          <t>rN other</t>
        </is>
      </c>
      <c r="W159" s="109">
        <f>MAX($W$156,$W$84,IF($W$82="Safe",$W$81/$W$80,0))</f>
        <v>0.470319616569926</v>
      </c>
      <c r="CA159" t="n">
        <v>119</v>
      </c>
      <c r="CB159" s="101">
        <f>2*$W$142*CA159/200</f>
        <v>95.2</v>
      </c>
      <c r="CC159" s="101">
        <f>0.447*$W$45*$W$143*MIN(0.8*CB159,$W$142)+SUMPRODUCT($BO$25:$BO$36,(ABS((2000000*0.003*(CB159-$BN$25:$BN$36)/CB159)+$W$146)-ABS((2000000*0.003*(CB159-$BN$25:$BN$36)/CB159)-$W$146))/2)-$W$139*1000</f>
        <v>581569.286656834</v>
      </c>
      <c r="CD159" s="101">
        <f>(0.447*$W$45*$W$143*MIN(0.8*CB159,$W$142)*($W$142/2-MIN(0.8*CB159,$W$142)/2)+SUMPRODUCT($BO$25:$BO$36,(ABS((2000000*0.003*(CB159-$BN$25:$BN$36)/CB159)+$W$146)-ABS((2000000*0.003*(CB159-$BN$25:$BN$36)/CB159)-$W$146))/2,($W$142/2-$BN$25:$BN$36)))/100000</f>
        <v>17.5341729886715</v>
      </c>
      <c r="CE159" s="101">
        <f>IF(AND(CC158&lt;0,CC159&gt;=0),CA159,"")</f>
        <v/>
      </c>
    </row>
    <row r="160">
      <c r="V160" t="inlineStr">
        <is>
          <t>rV other</t>
        </is>
      </c>
      <c r="W160" s="109">
        <f>MAX($W$157,$W$158,IF($W$125="Safe",$W$124/$W$123,0),IF($W$137="Safe",$W$136/$W$135,0))</f>
        <v>0.31131386632831</v>
      </c>
      <c r="CA160" t="n">
        <v>120</v>
      </c>
      <c r="CB160" s="101">
        <f>2*$W$142*CA160/200</f>
        <v>96.0</v>
      </c>
      <c r="CC160" s="101">
        <f>0.447*$W$45*$W$143*MIN(0.8*CB160,$W$142)+SUMPRODUCT($BO$25:$BO$36,(ABS((2000000*0.003*(CB160-$BN$25:$BN$36)/CB160)+$W$146)-ABS((2000000*0.003*(CB160-$BN$25:$BN$36)/CB160)-$W$146))/2)-$W$139*1000</f>
        <v>586549.334966007</v>
      </c>
      <c r="CD160" s="101">
        <f>(0.447*$W$45*$W$143*MIN(0.8*CB160,$W$142)*($W$142/2-MIN(0.8*CB160,$W$142)/2)+SUMPRODUCT($BO$25:$BO$36,(ABS((2000000*0.003*(CB160-$BN$25:$BN$36)/CB160)+$W$146)-ABS((2000000*0.003*(CB160-$BN$25:$BN$36)/CB160)-$W$146))/2,($W$142/2-$BN$25:$BN$36)))/100000</f>
        <v>15.7830140450671</v>
      </c>
      <c r="CE160" s="101">
        <f>IF(AND(CC159&lt;0,CC160&gt;=0),CA160,"")</f>
        <v/>
      </c>
    </row>
    <row r="161">
      <c r="V161" t="inlineStr">
        <is>
          <t>N by rft</t>
        </is>
      </c>
      <c r="W161" s="109">
        <f>AND($W$51,$W$82="By Rft.")</f>
        <v>1.0</v>
      </c>
      <c r="CA161" t="n">
        <v>121</v>
      </c>
      <c r="CB161" s="101">
        <f>2*$W$142*CA161/200</f>
        <v>96.8</v>
      </c>
      <c r="CC161" s="101">
        <f>0.447*$W$45*$W$143*MIN(0.8*CB161,$W$142)+SUMPRODUCT($BO$25:$BO$36,(ABS((2000000*0.003*(CB161-$BN$25:$BN$36)/CB161)+$W$146)-ABS((2000000*0.003*(CB161-$BN$25:$BN$36)/CB161)-$W$146))/2)-$W$139*1000</f>
        <v>591517.997352715</v>
      </c>
      <c r="CD161" s="101">
        <f>(0.447*$W$45*$W$143*MIN(0.8*CB161,$W$142)*($W$142/2-MIN(0.8*CB161,$W$142)/2)+SUMPRODUCT($BO$25:$BO$36,(ABS((2000000*0.003*(CB161-$BN$25:$BN$36)/CB161)+$W$146)-ABS((2000000*0.003*(CB161-$BN$25:$BN$36)/CB161)-$W$146))/2,($W$142/2-$BN$25:$BN$36)))/100000</f>
        <v>14.007461325324</v>
      </c>
      <c r="CE161" s="101">
        <f>IF(AND(CC160&lt;0,CC161&gt;=0),CA161,"")</f>
        <v/>
      </c>
    </row>
    <row r="162">
      <c r="V162" t="inlineStr">
        <is>
          <t>V by rft</t>
        </is>
      </c>
      <c r="W162" s="109">
        <f>AND($W$51,OR($W$125="By Rft.",$W$137="By Rft."))</f>
        <v>1.0</v>
      </c>
      <c r="CA162" t="n">
        <v>122</v>
      </c>
      <c r="CB162" s="101">
        <f>2*$W$142*CA162/200</f>
        <v>97.6</v>
      </c>
      <c r="CC162" s="101">
        <f>0.447*$W$45*$W$143*MIN(0.8*CB162,$W$142)+SUMPRODUCT($BO$25:$BO$36,(ABS((2000000*0.003*(CB162-$BN$25:$BN$36)/CB162)+$W$146)-ABS((2000000*0.003*(CB162-$BN$25:$BN$36)/CB162)-$W$146))/2)-$W$139*1000</f>
        <v>596466.095432748</v>
      </c>
      <c r="CD162" s="101">
        <f>(0.447*$W$45*$W$143*MIN(0.8*CB162,$W$142)*($W$142/2-MIN(0.8*CB162,$W$142)/2)+SUMPRODUCT($BO$25:$BO$36,(ABS((2000000*0.003*(CB162-$BN$25:$BN$36)/CB162)+$W$146)-ABS((2000000*0.003*(CB162-$BN$25:$BN$36)/CB162)-$W$146))/2,($W$142/2-$BN$25:$BN$36)))/100000</f>
        <v>12.2080673754992</v>
      </c>
      <c r="CE162" s="101">
        <f>IF(AND(CC161&lt;0,CC162&gt;=0),CA162,"")</f>
        <v/>
      </c>
    </row>
    <row r="163">
      <c r="V163" t="inlineStr">
        <is>
          <t>target ratio V</t>
        </is>
      </c>
      <c r="W163" s="109">
        <f>IF($W$162,MAX(0.2,MIN(1,1.2-MAX($W$159,IF($W$161,0.6,0)))),1)</f>
        <v>0.6</v>
      </c>
      <c r="CA163" t="n">
        <v>123</v>
      </c>
      <c r="CB163" s="101">
        <f>2*$W$142*CA163/200</f>
        <v>98.4</v>
      </c>
      <c r="CC163" s="101">
        <f>0.447*$W$45*$W$143*MIN(0.8*CB163,$W$142)+SUMPRODUCT($BO$25:$BO$36,(ABS((2000000*0.003*(CB163-$BN$25:$BN$36)/CB163)+$W$146)-ABS((2000000*0.003*(CB163-$BN$25:$BN$36)/CB163)-$W$146))/2)-$W$139*1000</f>
        <v>601319.079025571</v>
      </c>
      <c r="CD163" s="101">
        <f>(0.447*$W$45*$W$143*MIN(0.8*CB163,$W$142)*($W$142/2-MIN(0.8*CB163,$W$142)/2)+SUMPRODUCT($BO$25:$BO$36,(ABS((2000000*0.003*(CB163-$BN$25:$BN$36)/CB163)+$W$146)-ABS((2000000*0.003*(CB163-$BN$25:$BN$36)/CB163)-$W$146))/2,($W$142/2-$BN$25:$BN$36)))/100000</f>
        <v>10.3897272792887</v>
      </c>
      <c r="CE163" s="101">
        <f>IF(AND(CC162&lt;0,CC163&gt;=0),CA163,"")</f>
        <v/>
      </c>
    </row>
    <row r="164">
      <c r="V164" t="inlineStr">
        <is>
          <t>target ratio N</t>
        </is>
      </c>
      <c r="W164" s="109">
        <f>IF($W$161,MAX(0.2,MIN(1,1.2-MAX($W$160,IF($W$162,$W$163,0)))),1)</f>
        <v>0.6</v>
      </c>
      <c r="CA164" t="n">
        <v>124</v>
      </c>
      <c r="CB164" s="101">
        <f>2*$W$142*CA164/200</f>
        <v>99.2</v>
      </c>
      <c r="CC164" s="101">
        <f>0.447*$W$45*$W$143*MIN(0.8*CB164,$W$142)+SUMPRODUCT($BO$25:$BO$36,(ABS((2000000*0.003*(CB164-$BN$25:$BN$36)/CB164)+$W$146)-ABS((2000000*0.003*(CB164-$BN$25:$BN$36)/CB164)-$W$146))/2)-$W$139*1000</f>
        <v>606163.001592704</v>
      </c>
      <c r="CD164" s="101">
        <f>(0.447*$W$45*$W$143*MIN(0.8*CB164,$W$142)*($W$142/2-MIN(0.8*CB164,$W$142)/2)+SUMPRODUCT($BO$25:$BO$36,(ABS((2000000*0.003*(CB164-$BN$25:$BN$36)/CB164)+$W$146)-ABS((2000000*0.003*(CB164-$BN$25:$BN$36)/CB164)-$W$146))/2,($W$142/2-$BN$25:$BN$36)))/100000</f>
        <v>8.54667381430743</v>
      </c>
      <c r="CE164" s="101">
        <f>IF(AND(CC163&lt;0,CC164&gt;=0),CA164,"")</f>
        <v/>
      </c>
    </row>
    <row r="165">
      <c r="V165" t="inlineStr">
        <is>
          <t>Tu max ton</t>
        </is>
      </c>
      <c r="W165" s="109">
        <f>$W$138*$W$58</f>
        <v>6.67465202471829</v>
      </c>
      <c r="CA165" t="n">
        <v>125</v>
      </c>
      <c r="CB165" s="101">
        <f>2*$W$142*CA165/200</f>
        <v>100.0</v>
      </c>
      <c r="CC165" s="101">
        <f>0.447*$W$45*$W$143*MIN(0.8*CB165,$W$142)+SUMPRODUCT($BO$25:$BO$36,(ABS((2000000*0.003*(CB165-$BN$25:$BN$36)/CB165)+$W$146)-ABS((2000000*0.003*(CB165-$BN$25:$BN$36)/CB165)-$W$146))/2)-$W$139*1000</f>
        <v>610998.080598762</v>
      </c>
      <c r="CD165" s="101">
        <f>(0.447*$W$45*$W$143*MIN(0.8*CB165,$W$142)*($W$142/2-MIN(0.8*CB165,$W$142)/2)+SUMPRODUCT($BO$25:$BO$36,(ABS((2000000*0.003*(CB165-$BN$25:$BN$36)/CB165)+$W$146)-ABS((2000000*0.003*(CB165-$BN$25:$BN$36)/CB165)-$W$146))/2,($W$142/2-$BN$25:$BN$36)))/100000</f>
        <v>6.6788409730859</v>
      </c>
      <c r="CE165" s="101">
        <f>IF(AND(CC164&lt;0,CC165&gt;=0),CA165,"")</f>
        <v/>
      </c>
    </row>
    <row r="166">
      <c r="V166" t="inlineStr">
        <is>
          <t>As / bolt</t>
        </is>
      </c>
      <c r="W166" s="109">
        <f>$W$165*1000/(0.75*$W$54)</f>
        <v>2.47209334248826</v>
      </c>
      <c r="CA166" t="n">
        <v>126</v>
      </c>
      <c r="CB166" s="101">
        <f>2*$W$142*CA166/200</f>
        <v>100.8</v>
      </c>
      <c r="CC166" s="101">
        <f>0.447*$W$45*$W$143*MIN(0.8*CB166,$W$142)+SUMPRODUCT($BO$25:$BO$36,(ABS((2000000*0.003*(CB166-$BN$25:$BN$36)/CB166)+$W$146)-ABS((2000000*0.003*(CB166-$BN$25:$BN$36)/CB166)-$W$146))/2)-$W$139*1000</f>
        <v>611533.326604724</v>
      </c>
      <c r="CD166" s="101">
        <f>(0.447*$W$45*$W$143*MIN(0.8*CB166,$W$142)*($W$142/2-MIN(0.8*CB166,$W$142)/2)+SUMPRODUCT($BO$25:$BO$36,(ABS((2000000*0.003*(CB166-$BN$25:$BN$36)/CB166)+$W$146)-ABS((2000000*0.003*(CB166-$BN$25:$BN$36)/CB166)-$W$146))/2,($W$142/2-$BN$25:$BN$36)))/100000</f>
        <v>6.51637668362976</v>
      </c>
      <c r="CE166" s="101">
        <f>IF(AND(CC165&lt;0,CC166&gt;=0),CA166,"")</f>
        <v/>
      </c>
    </row>
    <row r="167">
      <c r="V167" t="inlineStr">
        <is>
          <t>bars / bolt</t>
        </is>
      </c>
      <c r="W167" s="120">
        <f>IF($W$161,MAX(2,CEILING($W$166/($W$152*$W$164),1)),0)</f>
        <v>3.0</v>
      </c>
      <c r="CA167" t="n">
        <v>127</v>
      </c>
      <c r="CB167" s="101">
        <f>2*$W$142*CA167/200</f>
        <v>101.6</v>
      </c>
      <c r="CC167" s="101">
        <f>0.447*$W$45*$W$143*MIN(0.8*CB167,$W$142)+SUMPRODUCT($BO$25:$BO$36,(ABS((2000000*0.003*(CB167-$BN$25:$BN$36)/CB167)+$W$146)-ABS((2000000*0.003*(CB167-$BN$25:$BN$36)/CB167)-$W$146))/2)-$W$139*1000</f>
        <v>612060.143539726</v>
      </c>
      <c r="CD167" s="101">
        <f>(0.447*$W$45*$W$143*MIN(0.8*CB167,$W$142)*($W$142/2-MIN(0.8*CB167,$W$142)/2)+SUMPRODUCT($BO$25:$BO$36,(ABS((2000000*0.003*(CB167-$BN$25:$BN$36)/CB167)+$W$146)-ABS((2000000*0.003*(CB167-$BN$25:$BN$36)/CB167)-$W$146))/2,($W$142/2-$BN$25:$BN$36)))/100000</f>
        <v>6.35647088692096</v>
      </c>
      <c r="CE167" s="101">
        <f>IF(AND(CC166&lt;0,CC167&gt;=0),CA167,"")</f>
        <v/>
      </c>
    </row>
    <row r="168">
      <c r="V168" t="inlineStr">
        <is>
          <t>bolts / face</t>
        </is>
      </c>
      <c r="W168" s="120">
        <f>MAX(COUNTIF($AM$25:$AM$36,1),COUNTIF($AM$25:$AM$36,-1))</f>
        <v>2.0</v>
      </c>
      <c r="CA168" t="n">
        <v>128</v>
      </c>
      <c r="CB168" s="101">
        <f>2*$W$142*CA168/200</f>
        <v>102.4</v>
      </c>
      <c r="CC168" s="101">
        <f>0.447*$W$45*$W$143*MIN(0.8*CB168,$W$142)+SUMPRODUCT($BO$25:$BO$36,(ABS((2000000*0.003*(CB168-$BN$25:$BN$36)/CB168)+$W$146)-ABS((2000000*0.003*(CB168-$BN$25:$BN$36)/CB168)-$W$146))/2)-$W$139*1000</f>
        <v>612578.728960118</v>
      </c>
      <c r="CD168" s="101">
        <f>(0.447*$W$45*$W$143*MIN(0.8*CB168,$W$142)*($W$142/2-MIN(0.8*CB168,$W$142)/2)+SUMPRODUCT($BO$25:$BO$36,(ABS((2000000*0.003*(CB168-$BN$25:$BN$36)/CB168)+$W$146)-ABS((2000000*0.003*(CB168-$BN$25:$BN$36)/CB168)-$W$146))/2,($W$142/2-$BN$25:$BN$36)))/100000</f>
        <v>6.19906361828573</v>
      </c>
      <c r="CE168" s="101">
        <f>IF(AND(CC167&lt;0,CC168&gt;=0),CA168,"")</f>
        <v/>
      </c>
    </row>
    <row r="169">
      <c r="V169" t="inlineStr">
        <is>
          <t>bars / face</t>
        </is>
      </c>
      <c r="W169" s="120">
        <f>IF($W$51,MIN(40,MAX(2,CEILING($W$150/$W$152,1),$W$167*$W$168,CEILING(($W$143-2*$W$144)/25,1)+1)),0)</f>
        <v>6.0</v>
      </c>
      <c r="CA169" t="n">
        <v>129</v>
      </c>
      <c r="CB169" s="101">
        <f>2*$W$142*CA169/200</f>
        <v>103.2</v>
      </c>
      <c r="CC169" s="101">
        <f>0.447*$W$45*$W$143*MIN(0.8*CB169,$W$142)+SUMPRODUCT($BO$25:$BO$36,(ABS((2000000*0.003*(CB169-$BN$25:$BN$36)/CB169)+$W$146)-ABS((2000000*0.003*(CB169-$BN$25:$BN$36)/CB169)-$W$146))/2)-$W$139*1000</f>
        <v>613089.274296474</v>
      </c>
      <c r="CD169" s="101">
        <f>(0.447*$W$45*$W$143*MIN(0.8*CB169,$W$142)*($W$142/2-MIN(0.8*CB169,$W$142)/2)+SUMPRODUCT($BO$25:$BO$36,(ABS((2000000*0.003*(CB169-$BN$25:$BN$36)/CB169)+$W$146)-ABS((2000000*0.003*(CB169-$BN$25:$BN$36)/CB169)-$W$146))/2,($W$142/2-$BN$25:$BN$36)))/100000</f>
        <v>6.04409677242005</v>
      </c>
      <c r="CE169" s="101">
        <f>IF(AND(CC168&lt;0,CC169&gt;=0),CA169,"")</f>
        <v/>
      </c>
    </row>
    <row r="170">
      <c r="V170" t="inlineStr">
        <is>
          <t>bars / side</t>
        </is>
      </c>
      <c r="W170" s="120">
        <f>IF($W$51,MIN(10,MAX(0,CEILING(($W$142-2*$W$144)/25,1)-1,CEILING((CEILING($W$151/$W$152,1)-2*$W$169)/2,1))),0)</f>
        <v>4.0</v>
      </c>
      <c r="CA170" t="n">
        <v>130</v>
      </c>
      <c r="CB170" s="101">
        <f>2*$W$142*CA170/200</f>
        <v>104.0</v>
      </c>
      <c r="CC170" s="101">
        <f>0.447*$W$45*$W$143*MIN(0.8*CB170,$W$142)+SUMPRODUCT($BO$25:$BO$36,(ABS((2000000*0.003*(CB170-$BN$25:$BN$36)/CB170)+$W$146)-ABS((2000000*0.003*(CB170-$BN$25:$BN$36)/CB170)-$W$146))/2)-$W$139*1000</f>
        <v>613591.965089193</v>
      </c>
      <c r="CD170" s="101">
        <f>(0.447*$W$45*$W$143*MIN(0.8*CB170,$W$142)*($W$142/2-MIN(0.8*CB170,$W$142)/2)+SUMPRODUCT($BO$25:$BO$36,(ABS((2000000*0.003*(CB170-$BN$25:$BN$36)/CB170)+$W$146)-ABS((2000000*0.003*(CB170-$BN$25:$BN$36)/CB170)-$W$146))/2,($W$142/2-$BN$25:$BN$36)))/100000</f>
        <v>5.89151403187538</v>
      </c>
      <c r="CE170" s="101">
        <f>IF(AND(CC169&lt;0,CC170&gt;=0),CA170,"")</f>
        <v/>
      </c>
    </row>
    <row r="171">
      <c r="V171" t="inlineStr">
        <is>
          <t>N bars</t>
        </is>
      </c>
      <c r="W171" s="120">
        <f>2*$W$169+2*$W$170</f>
        <v>20.0</v>
      </c>
      <c r="CA171" t="n">
        <v>131</v>
      </c>
      <c r="CB171" s="101">
        <f>2*$W$142*CA171/200</f>
        <v>104.8</v>
      </c>
      <c r="CC171" s="101">
        <f>0.447*$W$45*$W$143*MIN(0.8*CB171,$W$142)+SUMPRODUCT($BO$25:$BO$36,(ABS((2000000*0.003*(CB171-$BN$25:$BN$36)/CB171)+$W$146)-ABS((2000000*0.003*(CB171-$BN$25:$BN$36)/CB171)-$W$146))/2)-$W$139*1000</f>
        <v>614086.981213321</v>
      </c>
      <c r="CD171" s="101">
        <f>(0.447*$W$45*$W$143*MIN(0.8*CB171,$W$142)*($W$142/2-MIN(0.8*CB171,$W$142)/2)+SUMPRODUCT($BO$25:$BO$36,(ABS((2000000*0.003*(CB171-$BN$25:$BN$36)/CB171)+$W$146)-ABS((2000000*0.003*(CB171-$BN$25:$BN$36)/CB171)-$W$146))/2,($W$142/2-$BN$25:$BN$36)))/100000</f>
        <v>5.74126079881993</v>
      </c>
      <c r="CE171" s="101">
        <f>IF(AND(CC170&lt;0,CC171&gt;=0),CA171,"")</f>
        <v/>
      </c>
    </row>
    <row r="172">
      <c r="V172" t="inlineStr">
        <is>
          <t>As total</t>
        </is>
      </c>
      <c r="W172" s="109">
        <f>$W$171*$W$152</f>
        <v>40.2123859659494</v>
      </c>
      <c r="CA172" t="n">
        <v>132</v>
      </c>
      <c r="CB172" s="101">
        <f>2*$W$142*CA172/200</f>
        <v>105.6</v>
      </c>
      <c r="CC172" s="101">
        <f>0.447*$W$45*$W$143*MIN(0.8*CB172,$W$142)+SUMPRODUCT($BO$25:$BO$36,(ABS((2000000*0.003*(CB172-$BN$25:$BN$36)/CB172)+$W$146)-ABS((2000000*0.003*(CB172-$BN$25:$BN$36)/CB172)-$W$146))/2)-$W$139*1000</f>
        <v>614574.497093144</v>
      </c>
      <c r="CD172" s="101">
        <f>(0.447*$W$45*$W$143*MIN(0.8*CB172,$W$142)*($W$142/2-MIN(0.8*CB172,$W$142)/2)+SUMPRODUCT($BO$25:$BO$36,(ABS((2000000*0.003*(CB172-$BN$25:$BN$36)/CB172)+$W$146)-ABS((2000000*0.003*(CB172-$BN$25:$BN$36)/CB172)-$W$146))/2,($W$142/2-$BN$25:$BN$36)))/100000</f>
        <v>5.59328412990169</v>
      </c>
      <c r="CE172" s="101">
        <f>IF(AND(CC171&lt;0,CC172&gt;=0),CA172,"")</f>
        <v/>
      </c>
    </row>
    <row r="173">
      <c r="V173" t="inlineStr">
        <is>
          <t>j*</t>
        </is>
      </c>
      <c r="W173" s="120">
        <f>IF(COUNT($CE$42:$CE$240)=0,"",MIN($CE$42:$CE$240))</f>
        <v>19.0</v>
      </c>
      <c r="CA173" t="n">
        <v>133</v>
      </c>
      <c r="CB173" s="101">
        <f>2*$W$142*CA173/200</f>
        <v>106.4</v>
      </c>
      <c r="CC173" s="101">
        <f>0.447*$W$45*$W$143*MIN(0.8*CB173,$W$142)+SUMPRODUCT($BO$25:$BO$36,(ABS((2000000*0.003*(CB173-$BN$25:$BN$36)/CB173)+$W$146)-ABS((2000000*0.003*(CB173-$BN$25:$BN$36)/CB173)-$W$146))/2)-$W$139*1000</f>
        <v>615054.681907105</v>
      </c>
      <c r="CD173" s="101">
        <f>(0.447*$W$45*$W$143*MIN(0.8*CB173,$W$142)*($W$142/2-MIN(0.8*CB173,$W$142)/2)+SUMPRODUCT($BO$25:$BO$36,(ABS((2000000*0.003*(CB173-$BN$25:$BN$36)/CB173)+$W$146)-ABS((2000000*0.003*(CB173-$BN$25:$BN$36)/CB173)-$W$146))/2,($W$142/2-$BN$25:$BN$36)))/100000</f>
        <v>5.44753267404989</v>
      </c>
      <c r="CE173" s="101">
        <f>IF(AND(CC172&lt;0,CC173&gt;=0),CA173,"")</f>
        <v/>
      </c>
    </row>
    <row r="174">
      <c r="V174" t="inlineStr">
        <is>
          <t>Mr t.m</t>
        </is>
      </c>
      <c r="W174" s="109">
        <f>IF(ISNUMBER($W$173),INDEX($CD$41:$CD$240,$W$173-1)+(INDEX($CD$41:$CD$240,$W$173)-INDEX($CD$41:$CD$240,$W$173-1))*(-INDEX($CC$41:$CC$240,$W$173-1))/(INDEX($CC$41:$CC$240,$W$173)-INDEX($CC$41:$CC$240,$W$173-1)),"")</f>
        <v>52.1453730862742</v>
      </c>
      <c r="CA174" t="n">
        <v>134</v>
      </c>
      <c r="CB174" s="101">
        <f>2*$W$142*CA174/200</f>
        <v>107.2</v>
      </c>
      <c r="CC174" s="101">
        <f>0.447*$W$45*$W$143*MIN(0.8*CB174,$W$142)+SUMPRODUCT($BO$25:$BO$36,(ABS((2000000*0.003*(CB174-$BN$25:$BN$36)/CB174)+$W$146)-ABS((2000000*0.003*(CB174-$BN$25:$BN$36)/CB174)-$W$146))/2)-$W$139*1000</f>
        <v>615527.699783545</v>
      </c>
      <c r="CD174" s="101">
        <f>(0.447*$W$45*$W$143*MIN(0.8*CB174,$W$142)*($W$142/2-MIN(0.8*CB174,$W$142)/2)+SUMPRODUCT($BO$25:$BO$36,(ABS((2000000*0.003*(CB174-$BN$25:$BN$36)/CB174)+$W$146)-ABS((2000000*0.003*(CB174-$BN$25:$BN$36)/CB174)-$W$146))/2,($W$142/2-$BN$25:$BN$36)))/100000</f>
        <v>5.30395661306155</v>
      </c>
      <c r="CE174" s="101">
        <f>IF(AND(CC173&lt;0,CC174&gt;=0),CA174,"")</f>
        <v/>
      </c>
    </row>
    <row r="175">
      <c r="V175" t="inlineStr">
        <is>
          <t>status M</t>
        </is>
      </c>
      <c r="W175" s="109" t="str">
        <f>IF(OR(NOT($W$51),$W$41),"N/A",IF(ISNUMBER($W$174),IF($W$174&gt;=$W$141,"Safe","Un-Safe"),"Un-Safe"))</f>
        <v>Safe</v>
      </c>
      <c r="CA175" t="n">
        <v>135</v>
      </c>
      <c r="CB175" s="101">
        <f>2*$W$142*CA175/200</f>
        <v>108.0</v>
      </c>
      <c r="CC175" s="101">
        <f>0.447*$W$45*$W$143*MIN(0.8*CB175,$W$142)+SUMPRODUCT($BO$25:$BO$36,(ABS((2000000*0.003*(CB175-$BN$25:$BN$36)/CB175)+$W$146)-ABS((2000000*0.003*(CB175-$BN$25:$BN$36)/CB175)-$W$146))/2)-$W$139*1000</f>
        <v>615993.70998774</v>
      </c>
      <c r="CD175" s="101">
        <f>(0.447*$W$45*$W$143*MIN(0.8*CB175,$W$142)*($W$142/2-MIN(0.8*CB175,$W$142)/2)+SUMPRODUCT($BO$25:$BO$36,(ABS((2000000*0.003*(CB175-$BN$25:$BN$36)/CB175)+$W$146)-ABS((2000000*0.003*(CB175-$BN$25:$BN$36)/CB175)-$W$146))/2,($W$142/2-$BN$25:$BN$36)))/100000</f>
        <v>5.16250760482859</v>
      </c>
      <c r="CE175" s="101">
        <f>IF(AND(CC174&lt;0,CC175&gt;=0),CA175,"")</f>
        <v/>
      </c>
    </row>
    <row r="176">
      <c r="V176" t="inlineStr">
        <is>
          <t>Pu max ton</t>
        </is>
      </c>
      <c r="W176" s="109">
        <f>(0.35*$W$45*$W$43*$W$44+0.67*$W$54*$W$172)/1000</f>
        <v>516.99227494987</v>
      </c>
      <c r="CA176" t="n">
        <v>136</v>
      </c>
      <c r="CB176" s="101">
        <f>2*$W$142*CA176/200</f>
        <v>108.8</v>
      </c>
      <c r="CC176" s="101">
        <f>0.447*$W$45*$W$143*MIN(0.8*CB176,$W$142)+SUMPRODUCT($BO$25:$BO$36,(ABS((2000000*0.003*(CB176-$BN$25:$BN$36)/CB176)+$W$146)-ABS((2000000*0.003*(CB176-$BN$25:$BN$36)/CB176)-$W$146))/2)-$W$139*1000</f>
        <v>616452.867100698</v>
      </c>
      <c r="CD176" s="101">
        <f>(0.447*$W$45*$W$143*MIN(0.8*CB176,$W$142)*($W$142/2-MIN(0.8*CB176,$W$142)/2)+SUMPRODUCT($BO$25:$BO$36,(ABS((2000000*0.003*(CB176-$BN$25:$BN$36)/CB176)+$W$146)-ABS((2000000*0.003*(CB176-$BN$25:$BN$36)/CB176)-$W$146))/2,($W$142/2-$BN$25:$BN$36)))/100000</f>
        <v>5.02313872906965</v>
      </c>
      <c r="CE176" s="101">
        <f>IF(AND(CC175&lt;0,CC176&gt;=0),CA176,"")</f>
        <v/>
      </c>
    </row>
    <row r="177">
      <c r="V177" t="inlineStr">
        <is>
          <t>Tu max ton</t>
        </is>
      </c>
      <c r="W177" s="109">
        <f>$W$172*$W$146/1000</f>
        <v>125.882251719494</v>
      </c>
      <c r="CA177" t="n">
        <v>137</v>
      </c>
      <c r="CB177" s="101">
        <f>2*$W$142*CA177/200</f>
        <v>109.6</v>
      </c>
      <c r="CC177" s="101">
        <f>0.447*$W$45*$W$143*MIN(0.8*CB177,$W$142)+SUMPRODUCT($BO$25:$BO$36,(ABS((2000000*0.003*(CB177-$BN$25:$BN$36)/CB177)+$W$146)-ABS((2000000*0.003*(CB177-$BN$25:$BN$36)/CB177)-$W$146))/2)-$W$139*1000</f>
        <v>616905.321190109</v>
      </c>
      <c r="CD177" s="101">
        <f>(0.447*$W$45*$W$143*MIN(0.8*CB177,$W$142)*($W$142/2-MIN(0.8*CB177,$W$142)/2)+SUMPRODUCT($BO$25:$BO$36,(ABS((2000000*0.003*(CB177-$BN$25:$BN$36)/CB177)+$W$146)-ABS((2000000*0.003*(CB177-$BN$25:$BN$36)/CB177)-$W$146))/2,($W$142/2-$BN$25:$BN$36)))/100000</f>
        <v>4.88580443543857</v>
      </c>
      <c r="CE177" s="101">
        <f>IF(AND(CC176&lt;0,CC177&gt;=0),CA177,"")</f>
        <v/>
      </c>
    </row>
    <row r="178">
      <c r="V178" t="inlineStr">
        <is>
          <t>status N</t>
        </is>
      </c>
      <c r="W178" s="109" t="str">
        <f>IF($W$41,"N/A",IF($W$139&gt;=0,IF($W$139&lt;=$W$176,"Safe","Un-Safe"),IF($W$51,IF(-$W$139&lt;=$W$177,"Safe","Un-Safe"),"N/A")))</f>
        <v>Safe</v>
      </c>
      <c r="CA178" t="n">
        <v>138</v>
      </c>
      <c r="CB178" s="101">
        <f>2*$W$142*CA178/200</f>
        <v>110.4</v>
      </c>
      <c r="CC178" s="101">
        <f>0.447*$W$45*$W$143*MIN(0.8*CB178,$W$142)+SUMPRODUCT($BO$25:$BO$36,(ABS((2000000*0.003*(CB178-$BN$25:$BN$36)/CB178)+$W$146)-ABS((2000000*0.003*(CB178-$BN$25:$BN$36)/CB178)-$W$146))/2)-$W$139*1000</f>
        <v>617351.217973876</v>
      </c>
      <c r="CD178" s="101">
        <f>(0.447*$W$45*$W$143*MIN(0.8*CB178,$W$142)*($W$142/2-MIN(0.8*CB178,$W$142)/2)+SUMPRODUCT($BO$25:$BO$36,(ABS((2000000*0.003*(CB178-$BN$25:$BN$36)/CB178)+$W$146)-ABS((2000000*0.003*(CB178-$BN$25:$BN$36)/CB178)-$W$146))/2,($W$142/2-$BN$25:$BN$36)))/100000</f>
        <v>4.75046049388911</v>
      </c>
      <c r="CE178" s="101">
        <f>IF(AND(CC177&lt;0,CC178&gt;=0),CA178,"")</f>
        <v/>
      </c>
    </row>
    <row r="179">
      <c r="V179" t="inlineStr">
        <is>
          <t>Vu ton</t>
        </is>
      </c>
      <c r="W179" s="109">
        <f>$W$138*$W$110/9.81</f>
        <v>4.74341649025257</v>
      </c>
      <c r="CA179" t="n">
        <v>139</v>
      </c>
      <c r="CB179" s="101">
        <f>2*$W$142*CA179/200</f>
        <v>111.2</v>
      </c>
      <c r="CC179" s="101">
        <f>0.447*$W$45*$W$143*MIN(0.8*CB179,$W$142)+SUMPRODUCT($BO$25:$BO$36,(ABS((2000000*0.003*(CB179-$BN$25:$BN$36)/CB179)+$W$146)-ABS((2000000*0.003*(CB179-$BN$25:$BN$36)/CB179)-$W$146))/2)-$W$139*1000</f>
        <v>617790.698976582</v>
      </c>
      <c r="CD179" s="101">
        <f>(0.447*$W$45*$W$143*MIN(0.8*CB179,$W$142)*($W$142/2-MIN(0.8*CB179,$W$142)/2)+SUMPRODUCT($BO$25:$BO$36,(ABS((2000000*0.003*(CB179-$BN$25:$BN$36)/CB179)+$W$146)-ABS((2000000*0.003*(CB179-$BN$25:$BN$36)/CB179)-$W$146))/2,($W$142/2-$BN$25:$BN$36)))/100000</f>
        <v>4.61706394718207</v>
      </c>
      <c r="CE179" s="101">
        <f>IF(AND(CC178&lt;0,CC179&gt;=0),CA179,"")</f>
        <v/>
      </c>
    </row>
    <row r="180">
      <c r="V180" t="inlineStr">
        <is>
          <t>qu kg/cm2</t>
        </is>
      </c>
      <c r="W180" s="109">
        <f>$W$179*1000/($W$143*$W$145)</f>
        <v>1.08001286207936</v>
      </c>
      <c r="CA180" t="n">
        <v>140</v>
      </c>
      <c r="CB180" s="101">
        <f>2*$W$142*CA180/200</f>
        <v>112.0</v>
      </c>
      <c r="CC180" s="101">
        <f>0.447*$W$45*$W$143*MIN(0.8*CB180,$W$142)+SUMPRODUCT($BO$25:$BO$36,(ABS((2000000*0.003*(CB180-$BN$25:$BN$36)/CB180)+$W$146)-ABS((2000000*0.003*(CB180-$BN$25:$BN$36)/CB180)-$W$146))/2)-$W$139*1000</f>
        <v>618223.901679249</v>
      </c>
      <c r="CD180" s="101">
        <f>(0.447*$W$45*$W$143*MIN(0.8*CB180,$W$142)*($W$142/2-MIN(0.8*CB180,$W$142)/2)+SUMPRODUCT($BO$25:$BO$36,(ABS((2000000*0.003*(CB180-$BN$25:$BN$36)/CB180)+$W$146)-ABS((2000000*0.003*(CB180-$BN$25:$BN$36)/CB180)-$W$146))/2,($W$142/2-$BN$25:$BN$36)))/100000</f>
        <v>4.48557306542801</v>
      </c>
      <c r="CE180" s="101">
        <f>IF(AND(CC179&lt;0,CC180&gt;=0),CA180,"")</f>
        <v/>
      </c>
    </row>
    <row r="181">
      <c r="V181" t="inlineStr">
        <is>
          <t>qcu kg/cm2</t>
        </is>
      </c>
      <c r="W181" s="109">
        <f>0.24*SQRT($W$45/10.2/1.5)*10.2</f>
        <v>9.89545350148238</v>
      </c>
      <c r="CA181" t="n">
        <v>141</v>
      </c>
      <c r="CB181" s="101">
        <f>2*$W$142*CA181/200</f>
        <v>112.8</v>
      </c>
      <c r="CC181" s="101">
        <f>0.447*$W$45*$W$143*MIN(0.8*CB181,$W$142)+SUMPRODUCT($BO$25:$BO$36,(ABS((2000000*0.003*(CB181-$BN$25:$BN$36)/CB181)+$W$146)-ABS((2000000*0.003*(CB181-$BN$25:$BN$36)/CB181)-$W$146))/2)-$W$139*1000</f>
        <v>618650.959662729</v>
      </c>
      <c r="CD181" s="101">
        <f>(0.447*$W$45*$W$143*MIN(0.8*CB181,$W$142)*($W$142/2-MIN(0.8*CB181,$W$142)/2)+SUMPRODUCT($BO$25:$BO$36,(ABS((2000000*0.003*(CB181-$BN$25:$BN$36)/CB181)+$W$146)-ABS((2000000*0.003*(CB181-$BN$25:$BN$36)/CB181)-$W$146))/2,($W$142/2-$BN$25:$BN$36)))/100000</f>
        <v>4.35594730256407</v>
      </c>
      <c r="CE181" s="101">
        <f>IF(AND(CC180&lt;0,CC181&gt;=0),CA181,"")</f>
        <v/>
      </c>
    </row>
    <row r="182">
      <c r="V182" t="inlineStr">
        <is>
          <t>status q</t>
        </is>
      </c>
      <c r="W182" s="109" t="str">
        <f>IF($W$180&lt;=$W$181,"Safe","Un-Safe")</f>
        <v>Safe</v>
      </c>
      <c r="CA182" t="n">
        <v>142</v>
      </c>
      <c r="CB182" s="101">
        <f>2*$W$142*CA182/200</f>
        <v>113.6</v>
      </c>
      <c r="CC182" s="101">
        <f>0.447*$W$45*$W$143*MIN(0.8*CB182,$W$142)+SUMPRODUCT($BO$25:$BO$36,(ABS((2000000*0.003*(CB182-$BN$25:$BN$36)/CB182)+$W$146)-ABS((2000000*0.003*(CB182-$BN$25:$BN$36)/CB182)-$W$146))/2)-$W$139*1000</f>
        <v>619072.002745034</v>
      </c>
      <c r="CD182" s="101">
        <f>(0.447*$W$45*$W$143*MIN(0.8*CB182,$W$142)*($W$142/2-MIN(0.8*CB182,$W$142)/2)+SUMPRODUCT($BO$25:$BO$36,(ABS((2000000*0.003*(CB182-$BN$25:$BN$36)/CB182)+$W$146)-ABS((2000000*0.003*(CB182-$BN$25:$BN$36)/CB182)-$W$146))/2,($W$142/2-$BN$25:$BN$36)))/100000</f>
        <v>4.22814725467005</v>
      </c>
      <c r="CE182" s="101">
        <f>IF(AND(CC181&lt;0,CC182&gt;=0),CA182,"")</f>
        <v/>
      </c>
    </row>
    <row r="183">
      <c r="V183" t="inlineStr">
        <is>
          <t>top ties</t>
        </is>
      </c>
      <c r="W183" s="120">
        <f>IF($W$51,MAX(IF($F$10&gt;=12,2,3),CEILING($W$155/(2*$W$153*$W$163),1)),0)</f>
        <v>3.0</v>
      </c>
      <c r="CA183" t="n">
        <v>143</v>
      </c>
      <c r="CB183" s="101">
        <f>2*$W$142*CA183/200</f>
        <v>114.4</v>
      </c>
      <c r="CC183" s="101">
        <f>0.447*$W$45*$W$143*MIN(0.8*CB183,$W$142)+SUMPRODUCT($BO$25:$BO$36,(ABS((2000000*0.003*(CB183-$BN$25:$BN$36)/CB183)+$W$146)-ABS((2000000*0.003*(CB183-$BN$25:$BN$36)/CB183)-$W$146))/2)-$W$139*1000</f>
        <v>619487.1571129</v>
      </c>
      <c r="CD183" s="101">
        <f>(0.447*$W$45*$W$143*MIN(0.8*CB183,$W$142)*($W$142/2-MIN(0.8*CB183,$W$142)/2)+SUMPRODUCT($BO$25:$BO$36,(ABS((2000000*0.003*(CB183-$BN$25:$BN$36)/CB183)+$W$146)-ABS((2000000*0.003*(CB183-$BN$25:$BN$36)/CB183)-$W$146))/2,($W$142/2-$BN$25:$BN$36)))/100000</f>
        <v>4.10213462003327</v>
      </c>
      <c r="CE183" s="101">
        <f>IF(AND(CC182&lt;0,CC183&gt;=0),CA183,"")</f>
        <v/>
      </c>
    </row>
    <row r="184">
      <c r="V184" t="inlineStr">
        <is>
          <t>tie spacing</t>
        </is>
      </c>
      <c r="W184" s="120">
        <f>MIN(15,FLOOR(12*$F$9/10,1))</f>
        <v>15.0</v>
      </c>
      <c r="CA184" t="n">
        <v>144</v>
      </c>
      <c r="CB184" s="101">
        <f>2*$W$142*CA184/200</f>
        <v>115.2</v>
      </c>
      <c r="CC184" s="101">
        <f>0.447*$W$45*$W$143*MIN(0.8*CB184,$W$142)+SUMPRODUCT($BO$25:$BO$36,(ABS((2000000*0.003*(CB184-$BN$25:$BN$36)/CB184)+$W$146)-ABS((2000000*0.003*(CB184-$BN$25:$BN$36)/CB184)-$W$146))/2)-$W$139*1000</f>
        <v>619896.54544788</v>
      </c>
      <c r="CD184" s="101">
        <f>(0.447*$W$45*$W$143*MIN(0.8*CB184,$W$142)*($W$142/2-MIN(0.8*CB184,$W$142)/2)+SUMPRODUCT($BO$25:$BO$36,(ABS((2000000*0.003*(CB184-$BN$25:$BN$36)/CB184)+$W$146)-ABS((2000000*0.003*(CB184-$BN$25:$BN$36)/CB184)-$W$146))/2,($W$142/2-$BN$25:$BN$36)))/100000</f>
        <v>3.97787216087757</v>
      </c>
      <c r="CE184" s="101">
        <f>IF(AND(CC183&lt;0,CC184&gt;=0),CA184,"")</f>
        <v/>
      </c>
    </row>
    <row r="185">
      <c r="V185" t="inlineStr">
        <is>
          <t>ld cm</t>
        </is>
      </c>
      <c r="W185" s="120">
        <f>MAX(30,$W$54/10.2/(IF($F$9&lt;=20,2.1,1.7)*SQRT($W$46))*$F$9/10)</f>
        <v>60.7278778656065</v>
      </c>
      <c r="CA185" t="n">
        <v>145</v>
      </c>
      <c r="CB185" s="101">
        <f>2*$W$142*CA185/200</f>
        <v>116.0</v>
      </c>
      <c r="CC185" s="101">
        <f>0.447*$W$45*$W$143*MIN(0.8*CB185,$W$142)+SUMPRODUCT($BO$25:$BO$36,(ABS((2000000*0.003*(CB185-$BN$25:$BN$36)/CB185)+$W$146)-ABS((2000000*0.003*(CB185-$BN$25:$BN$36)/CB185)-$W$146))/2)-$W$139*1000</f>
        <v>620300.287047205</v>
      </c>
      <c r="CD185" s="101">
        <f>(0.447*$W$45*$W$143*MIN(0.8*CB185,$W$142)*($W$142/2-MIN(0.8*CB185,$W$142)/2)+SUMPRODUCT($BO$25:$BO$36,(ABS((2000000*0.003*(CB185-$BN$25:$BN$36)/CB185)+$W$146)-ABS((2000000*0.003*(CB185-$BN$25:$BN$36)/CB185)-$W$146))/2,($W$142/2-$BN$25:$BN$36)))/100000</f>
        <v>3.85532366667574</v>
      </c>
      <c r="CE185" s="101">
        <f>IF(AND(CC184&lt;0,CC185&gt;=0),CA185,"")</f>
        <v/>
      </c>
    </row>
    <row r="186">
      <c r="V186" t="inlineStr">
        <is>
          <t>bar length</t>
        </is>
      </c>
      <c r="W186" s="120">
        <f>CEILING($W$47+$W$185,5)</f>
        <v>185.0</v>
      </c>
      <c r="CA186" t="n">
        <v>146</v>
      </c>
      <c r="CB186" s="101">
        <f>2*$W$142*CA186/200</f>
        <v>116.8</v>
      </c>
      <c r="CC186" s="101">
        <f>0.447*$W$45*$W$143*MIN(0.8*CB186,$W$142)+SUMPRODUCT($BO$25:$BO$36,(ABS((2000000*0.003*(CB186-$BN$25:$BN$36)/CB186)+$W$146)-ABS((2000000*0.003*(CB186-$BN$25:$BN$36)/CB186)-$W$146))/2)-$W$139*1000</f>
        <v>620698.49793969</v>
      </c>
      <c r="CD186" s="101">
        <f>(0.447*$W$45*$W$143*MIN(0.8*CB186,$W$142)*($W$142/2-MIN(0.8*CB186,$W$142)/2)+SUMPRODUCT($BO$25:$BO$36,(ABS((2000000*0.003*(CB186-$BN$25:$BN$36)/CB186)+$W$146)-ABS((2000000*0.003*(CB186-$BN$25:$BN$36)/CB186)-$W$146))/2,($W$142/2-$BN$25:$BN$36)))/100000</f>
        <v>3.73445391896983</v>
      </c>
      <c r="CE186" s="101">
        <f>IF(AND(CC185&lt;0,CC186&gt;=0),CA186,"")</f>
        <v/>
      </c>
    </row>
    <row r="187">
      <c r="V187" t="inlineStr">
        <is>
          <t>rN breakout</t>
        </is>
      </c>
      <c r="W187" s="109">
        <f>IF($W$56=0,0,IF($W$82="By Rft.",$W$166/MAX($W$167*$W$152,0.001),$W$81/$W$80))</f>
        <v>0.409839453376637</v>
      </c>
      <c r="CA187" t="n">
        <v>147</v>
      </c>
      <c r="CB187" s="101">
        <f>2*$W$142*CA187/200</f>
        <v>117.6</v>
      </c>
      <c r="CC187" s="101">
        <f>0.447*$W$45*$W$143*MIN(0.8*CB187,$W$142)+SUMPRODUCT($BO$25:$BO$36,(ABS((2000000*0.003*(CB187-$BN$25:$BN$36)/CB187)+$W$146)-ABS((2000000*0.003*(CB187-$BN$25:$BN$36)/CB187)-$W$146))/2)-$W$139*1000</f>
        <v>621091.290996902</v>
      </c>
      <c r="CD187" s="101">
        <f>(0.447*$W$45*$W$143*MIN(0.8*CB187,$W$142)*($W$142/2-MIN(0.8*CB187,$W$142)/2)+SUMPRODUCT($BO$25:$BO$36,(ABS((2000000*0.003*(CB187-$BN$25:$BN$36)/CB187)+$W$146)-ABS((2000000*0.003*(CB187-$BN$25:$BN$36)/CB187)-$W$146))/2,($W$142/2-$BN$25:$BN$36)))/100000</f>
        <v>3.61522865762726</v>
      </c>
      <c r="CE187" s="101">
        <f>IF(AND(CC186&lt;0,CC187&gt;=0),CA187,"")</f>
        <v/>
      </c>
    </row>
    <row r="188">
      <c r="V188" t="inlineStr">
        <is>
          <t>rN</t>
        </is>
      </c>
      <c r="W188" s="109">
        <f>MAX($W$156,$W$187,$W$84)</f>
        <v>0.470319616569926</v>
      </c>
      <c r="CA188" t="n">
        <v>148</v>
      </c>
      <c r="CB188" s="101">
        <f>2*$W$142*CA188/200</f>
        <v>118.4</v>
      </c>
      <c r="CC188" s="101">
        <f>0.447*$W$45*$W$143*MIN(0.8*CB188,$W$142)+SUMPRODUCT($BO$25:$BO$36,(ABS((2000000*0.003*(CB188-$BN$25:$BN$36)/CB188)+$W$146)-ABS((2000000*0.003*(CB188-$BN$25:$BN$36)/CB188)-$W$146))/2)-$W$139*1000</f>
        <v>621478.776039829</v>
      </c>
      <c r="CD188" s="101">
        <f>(0.447*$W$45*$W$143*MIN(0.8*CB188,$W$142)*($W$142/2-MIN(0.8*CB188,$W$142)/2)+SUMPRODUCT($BO$25:$BO$36,(ABS((2000000*0.003*(CB188-$BN$25:$BN$36)/CB188)+$W$146)-ABS((2000000*0.003*(CB188-$BN$25:$BN$36)/CB188)-$W$146))/2,($W$142/2-$BN$25:$BN$36)))/100000</f>
        <v>3.497614548465</v>
      </c>
      <c r="CE188" s="101">
        <f>IF(AND(CC187&lt;0,CC188&gt;=0),CA188,"")</f>
        <v/>
      </c>
    </row>
    <row r="189">
      <c r="V189" t="inlineStr">
        <is>
          <t>rV X</t>
        </is>
      </c>
      <c r="W189" s="109">
        <f>IF($W$125="By Rft.",$W$155/MAX($W$183*2*$W$153,0.001),$W$124/$W$123)</f>
        <v>0.353677651315323</v>
      </c>
      <c r="CA189" t="n">
        <v>149</v>
      </c>
      <c r="CB189" s="101">
        <f>2*$W$142*CA189/200</f>
        <v>119.2</v>
      </c>
      <c r="CC189" s="101">
        <f>0.447*$W$45*$W$143*MIN(0.8*CB189,$W$142)+SUMPRODUCT($BO$25:$BO$36,(ABS((2000000*0.003*(CB189-$BN$25:$BN$36)/CB189)+$W$146)-ABS((2000000*0.003*(CB189-$BN$25:$BN$36)/CB189)-$W$146))/2)-$W$139*1000</f>
        <v>621861.059941239</v>
      </c>
      <c r="CD189" s="101">
        <f>(0.447*$W$45*$W$143*MIN(0.8*CB189,$W$142)*($W$142/2-MIN(0.8*CB189,$W$142)/2)+SUMPRODUCT($BO$25:$BO$36,(ABS((2000000*0.003*(CB189-$BN$25:$BN$36)/CB189)+$W$146)-ABS((2000000*0.003*(CB189-$BN$25:$BN$36)/CB189)-$W$146))/2,($W$142/2-$BN$25:$BN$36)))/100000</f>
        <v>3.3815791521774</v>
      </c>
      <c r="CE189" s="101">
        <f>IF(AND(CC188&lt;0,CC189&gt;=0),CA189,"")</f>
        <v/>
      </c>
    </row>
    <row r="190">
      <c r="V190" t="inlineStr">
        <is>
          <t>rV Y</t>
        </is>
      </c>
      <c r="W190" s="109">
        <f>IF($W$137="By Rft.",$W$155/MAX($W$183*2*$W$153,0.001),$W$136/$W$135)</f>
        <v>0.31131386632831</v>
      </c>
      <c r="CA190" t="n">
        <v>150</v>
      </c>
      <c r="CB190" s="101">
        <f>2*$W$142*CA190/200</f>
        <v>120.0</v>
      </c>
      <c r="CC190" s="101">
        <f>0.447*$W$45*$W$143*MIN(0.8*CB190,$W$142)+SUMPRODUCT($BO$25:$BO$36,(ABS((2000000*0.003*(CB190-$BN$25:$BN$36)/CB190)+$W$146)-ABS((2000000*0.003*(CB190-$BN$25:$BN$36)/CB190)-$W$146))/2)-$W$139*1000</f>
        <v>622238.246723964</v>
      </c>
      <c r="CD190" s="101">
        <f>(0.447*$W$45*$W$143*MIN(0.8*CB190,$W$142)*($W$142/2-MIN(0.8*CB190,$W$142)/2)+SUMPRODUCT($BO$25:$BO$36,(ABS((2000000*0.003*(CB190-$BN$25:$BN$36)/CB190)+$W$146)-ABS((2000000*0.003*(CB190-$BN$25:$BN$36)/CB190)-$W$146))/2,($W$142/2-$BN$25:$BN$36)))/100000</f>
        <v>3.26709089450696</v>
      </c>
      <c r="CE190" s="101">
        <f>IF(AND(CC189&lt;0,CC190&gt;=0),CA190,"")</f>
        <v/>
      </c>
    </row>
    <row r="191">
      <c r="V191" t="inlineStr">
        <is>
          <t>rV</t>
        </is>
      </c>
      <c r="W191" s="109">
        <f>MAX($W$157,$W$189,$W$190,$W$158)</f>
        <v>0.353677651315323</v>
      </c>
      <c r="CA191" t="n">
        <v>151</v>
      </c>
      <c r="CB191" s="101">
        <f>2*$W$142*CA191/200</f>
        <v>120.8</v>
      </c>
      <c r="CC191" s="101">
        <f>0.447*$W$45*$W$143*MIN(0.8*CB191,$W$142)+SUMPRODUCT($BO$25:$BO$36,(ABS((2000000*0.003*(CB191-$BN$25:$BN$36)/CB191)+$W$146)-ABS((2000000*0.003*(CB191-$BN$25:$BN$36)/CB191)-$W$146))/2)-$W$139*1000</f>
        <v>622610.437655262</v>
      </c>
      <c r="CD191" s="101">
        <f>(0.447*$W$45*$W$143*MIN(0.8*CB191,$W$142)*($W$142/2-MIN(0.8*CB191,$W$142)/2)+SUMPRODUCT($BO$25:$BO$36,(ABS((2000000*0.003*(CB191-$BN$25:$BN$36)/CB191)+$W$146)-ABS((2000000*0.003*(CB191-$BN$25:$BN$36)/CB191)-$W$146))/2,($W$142/2-$BN$25:$BN$36)))/100000</f>
        <v>3.15411903760037</v>
      </c>
      <c r="CE191" s="101">
        <f>IF(AND(CC190&lt;0,CC191&gt;=0),CA191,"")</f>
        <v/>
      </c>
    </row>
    <row r="192">
      <c r="V192" t="inlineStr">
        <is>
          <t>status I</t>
        </is>
      </c>
      <c r="W192" s="109" t="str">
        <f>IF(OR($W$188&lt;=0.2,$W$191&lt;=0.2),IF(AND($W$188&lt;=1,$W$191&lt;=1),"Safe","Un-Safe"),IF($W$188+$W$191&lt;=1.2,"Safe","Un-Safe"))</f>
        <v>Safe</v>
      </c>
      <c r="CA192" t="n">
        <v>152</v>
      </c>
      <c r="CB192" s="101">
        <f>2*$W$142*CA192/200</f>
        <v>121.6</v>
      </c>
      <c r="CC192" s="101">
        <f>0.447*$W$45*$W$143*MIN(0.8*CB192,$W$142)+SUMPRODUCT($BO$25:$BO$36,(ABS((2000000*0.003*(CB192-$BN$25:$BN$36)/CB192)+$W$146)-ABS((2000000*0.003*(CB192-$BN$25:$BN$36)/CB192)-$W$146))/2)-$W$139*1000</f>
        <v>622977.731337464</v>
      </c>
      <c r="CD192" s="101">
        <f>(0.447*$W$45*$W$143*MIN(0.8*CB192,$W$142)*($W$142/2-MIN(0.8*CB192,$W$142)/2)+SUMPRODUCT($BO$25:$BO$36,(ABS((2000000*0.003*(CB192-$BN$25:$BN$36)/CB192)+$W$146)-ABS((2000000*0.003*(CB192-$BN$25:$BN$36)/CB192)-$W$146))/2,($W$142/2-$BN$25:$BN$36)))/100000</f>
        <v>3.04263365249519</v>
      </c>
      <c r="CE192" s="101">
        <f>IF(AND(CC191&lt;0,CC192&gt;=0),CA192,"")</f>
        <v/>
      </c>
    </row>
    <row r="193">
      <c r="V193" t="inlineStr">
        <is>
          <t>plot scale</t>
        </is>
      </c>
      <c r="W193" s="109">
        <f>MAX($W$43,$W$44)/2*1.22</f>
        <v>48.8</v>
      </c>
      <c r="CA193" t="n">
        <v>153</v>
      </c>
      <c r="CB193" s="101">
        <f>2*$W$142*CA193/200</f>
        <v>122.4</v>
      </c>
      <c r="CC193" s="101">
        <f>0.447*$W$45*$W$143*MIN(0.8*CB193,$W$142)+SUMPRODUCT($BO$25:$BO$36,(ABS((2000000*0.003*(CB193-$BN$25:$BN$36)/CB193)+$W$146)-ABS((2000000*0.003*(CB193-$BN$25:$BN$36)/CB193)-$W$146))/2)-$W$139*1000</f>
        <v>623340.223795062</v>
      </c>
      <c r="CD193" s="101">
        <f>(0.447*$W$45*$W$143*MIN(0.8*CB193,$W$142)*($W$142/2-MIN(0.8*CB193,$W$142)/2)+SUMPRODUCT($BO$25:$BO$36,(ABS((2000000*0.003*(CB193-$BN$25:$BN$36)/CB193)+$W$146)-ABS((2000000*0.003*(CB193-$BN$25:$BN$36)/CB193)-$W$146))/2,($W$142/2-$BN$25:$BN$36)))/100000</f>
        <v>2.9326055926855</v>
      </c>
      <c r="CE193" s="101">
        <f>IF(AND(CC192&lt;0,CC193&gt;=0),CA193,"")</f>
        <v/>
      </c>
    </row>
    <row r="194">
      <c r="V194" t="inlineStr">
        <is>
          <t>nx (plan)</t>
        </is>
      </c>
      <c r="W194" s="120">
        <f>IF($W$42,$W$170+2,$W$169)</f>
        <v>6.0</v>
      </c>
      <c r="CA194" t="n">
        <v>154</v>
      </c>
      <c r="CB194" s="101">
        <f>2*$W$142*CA194/200</f>
        <v>123.2</v>
      </c>
      <c r="CC194" s="101">
        <f>0.447*$W$45*$W$143*MIN(0.8*CB194,$W$142)+SUMPRODUCT($BO$25:$BO$36,(ABS((2000000*0.003*(CB194-$BN$25:$BN$36)/CB194)+$W$146)-ABS((2000000*0.003*(CB194-$BN$25:$BN$36)/CB194)-$W$146))/2)-$W$139*1000</f>
        <v>623698.008558406</v>
      </c>
      <c r="CD194" s="101">
        <f>(0.447*$W$45*$W$143*MIN(0.8*CB194,$W$142)*($W$142/2-MIN(0.8*CB194,$W$142)/2)+SUMPRODUCT($BO$25:$BO$36,(ABS((2000000*0.003*(CB194-$BN$25:$BN$36)/CB194)+$W$146)-ABS((2000000*0.003*(CB194-$BN$25:$BN$36)/CB194)-$W$146))/2,($W$142/2-$BN$25:$BN$36)))/100000</f>
        <v>2.82400646871749</v>
      </c>
      <c r="CE194" s="101">
        <f>IF(AND(CC193&lt;0,CC194&gt;=0),CA194,"")</f>
        <v/>
      </c>
    </row>
    <row r="195">
      <c r="V195" t="inlineStr">
        <is>
          <t>ny (plan)</t>
        </is>
      </c>
      <c r="W195" s="120">
        <f>IF($W$42,$W$169,$W$170+2)</f>
        <v>6.0</v>
      </c>
      <c r="CA195" t="n">
        <v>155</v>
      </c>
      <c r="CB195" s="101">
        <f>2*$W$142*CA195/200</f>
        <v>124.0</v>
      </c>
      <c r="CC195" s="101">
        <f>0.447*$W$45*$W$143*MIN(0.8*CB195,$W$142)+SUMPRODUCT($BO$25:$BO$36,(ABS((2000000*0.003*(CB195-$BN$25:$BN$36)/CB195)+$W$146)-ABS((2000000*0.003*(CB195-$BN$25:$BN$36)/CB195)-$W$146))/2)-$W$139*1000</f>
        <v>624051.176744158</v>
      </c>
      <c r="CD195" s="101">
        <f>(0.447*$W$45*$W$143*MIN(0.8*CB195,$W$142)*($W$142/2-MIN(0.8*CB195,$W$142)/2)+SUMPRODUCT($BO$25:$BO$36,(ABS((2000000*0.003*(CB195-$BN$25:$BN$36)/CB195)+$W$146)-ABS((2000000*0.003*(CB195-$BN$25:$BN$36)/CB195)-$W$146))/2,($W$142/2-$BN$25:$BN$36)))/100000</f>
        <v>2.71680862376843</v>
      </c>
      <c r="CE195" s="101">
        <f>IF(AND(CC194&lt;0,CC195&gt;=0),CA195,"")</f>
        <v/>
      </c>
    </row>
    <row r="196">
      <c r="V196" t="inlineStr">
        <is>
          <t>bar line a</t>
        </is>
      </c>
      <c r="W196" s="109">
        <f>$W$43-2*$W$144</f>
        <v>66.4</v>
      </c>
      <c r="CA196" t="n">
        <v>156</v>
      </c>
      <c r="CB196" s="101">
        <f>2*$W$142*CA196/200</f>
        <v>124.8</v>
      </c>
      <c r="CC196" s="101">
        <f>0.447*$W$45*$W$143*MIN(0.8*CB196,$W$142)+SUMPRODUCT($BO$25:$BO$36,(ABS((2000000*0.003*(CB196-$BN$25:$BN$36)/CB196)+$W$146)-ABS((2000000*0.003*(CB196-$BN$25:$BN$36)/CB196)-$W$146))/2)-$W$139*1000</f>
        <v>624399.817132657</v>
      </c>
      <c r="CD196" s="101">
        <f>(0.447*$W$45*$W$143*MIN(0.8*CB196,$W$142)*($W$142/2-MIN(0.8*CB196,$W$142)/2)+SUMPRODUCT($BO$25:$BO$36,(ABS((2000000*0.003*(CB196-$BN$25:$BN$36)/CB196)+$W$146)-ABS((2000000*0.003*(CB196-$BN$25:$BN$36)/CB196)-$W$146))/2,($W$142/2-$BN$25:$BN$36)))/100000</f>
        <v>2.61098511016486</v>
      </c>
      <c r="CE196" s="101">
        <f>IF(AND(CC195&lt;0,CC196&gt;=0),CA196,"")</f>
        <v/>
      </c>
    </row>
    <row r="197">
      <c r="V197" t="inlineStr">
        <is>
          <t>bar line b</t>
        </is>
      </c>
      <c r="W197" s="109">
        <f>$W$44-2*$W$144</f>
        <v>46.4</v>
      </c>
      <c r="CA197" t="n">
        <v>157</v>
      </c>
      <c r="CB197" s="101">
        <f>2*$W$142*CA197/200</f>
        <v>125.6</v>
      </c>
      <c r="CC197" s="101">
        <f>0.447*$W$45*$W$143*MIN(0.8*CB197,$W$142)+SUMPRODUCT($BO$25:$BO$36,(ABS((2000000*0.003*(CB197-$BN$25:$BN$36)/CB197)+$W$146)-ABS((2000000*0.003*(CB197-$BN$25:$BN$36)/CB197)-$W$146))/2)-$W$139*1000</f>
        <v>624715.285155145</v>
      </c>
      <c r="CD197" s="101">
        <f>(0.447*$W$45*$W$143*MIN(0.8*CB197,$W$142)*($W$142/2-MIN(0.8*CB197,$W$142)/2)+SUMPRODUCT($BO$25:$BO$36,(ABS((2000000*0.003*(CB197-$BN$25:$BN$36)/CB197)+$W$146)-ABS((2000000*0.003*(CB197-$BN$25:$BN$36)/CB197)-$W$146))/2,($W$142/2-$BN$25:$BN$36)))/100000</f>
        <v>2.51223289936372</v>
      </c>
      <c r="CE197" s="101">
        <f>IF(AND(CC196&lt;0,CC197&gt;=0),CA197,"")</f>
        <v/>
      </c>
    </row>
    <row r="198">
      <c r="CA198" t="n">
        <v>158</v>
      </c>
      <c r="CB198" s="101">
        <f>2*$W$142*CA198/200</f>
        <v>126.4</v>
      </c>
      <c r="CC198" s="101">
        <f>0.447*$W$45*$W$143*MIN(0.8*CB198,$W$142)+SUMPRODUCT($BO$25:$BO$36,(ABS((2000000*0.003*(CB198-$BN$25:$BN$36)/CB198)+$W$146)-ABS((2000000*0.003*(CB198-$BN$25:$BN$36)/CB198)-$W$146))/2)-$W$139*1000</f>
        <v>624982.276204431</v>
      </c>
      <c r="CD198" s="101">
        <f>(0.447*$W$45*$W$143*MIN(0.8*CB198,$W$142)*($W$142/2-MIN(0.8*CB198,$W$142)/2)+SUMPRODUCT($BO$25:$BO$36,(ABS((2000000*0.003*(CB198-$BN$25:$BN$36)/CB198)+$W$146)-ABS((2000000*0.003*(CB198-$BN$25:$BN$36)/CB198)-$W$146))/2,($W$142/2-$BN$25:$BN$36)))/100000</f>
        <v>2.42359187100072</v>
      </c>
      <c r="CE198" s="101">
        <f>IF(AND(CC197&lt;0,CC198&gt;=0),CA198,"")</f>
        <v/>
      </c>
    </row>
    <row r="199">
      <c r="CA199" t="n">
        <v>159</v>
      </c>
      <c r="CB199" s="101">
        <f>2*$W$142*CA199/200</f>
        <v>127.2</v>
      </c>
      <c r="CC199" s="101">
        <f>0.447*$W$45*$W$143*MIN(0.8*CB199,$W$142)+SUMPRODUCT($BO$25:$BO$36,(ABS((2000000*0.003*(CB199-$BN$25:$BN$36)/CB199)+$W$146)-ABS((2000000*0.003*(CB199-$BN$25:$BN$36)/CB199)-$W$146))/2)-$W$139*1000</f>
        <v>625245.908875739</v>
      </c>
      <c r="CD199" s="101">
        <f>(0.447*$W$45*$W$143*MIN(0.8*CB199,$W$142)*($W$142/2-MIN(0.8*CB199,$W$142)/2)+SUMPRODUCT($BO$25:$BO$36,(ABS((2000000*0.003*(CB199-$BN$25:$BN$36)/CB199)+$W$146)-ABS((2000000*0.003*(CB199-$BN$25:$BN$36)/CB199)-$W$146))/2,($W$142/2-$BN$25:$BN$36)))/100000</f>
        <v>2.33606582412656</v>
      </c>
      <c r="CE199" s="101">
        <f>IF(AND(CC198&lt;0,CC199&gt;=0),CA199,"")</f>
        <v/>
      </c>
    </row>
    <row r="200">
      <c r="CA200" t="n">
        <v>160</v>
      </c>
      <c r="CB200" s="101">
        <f>2*$W$142*CA200/200</f>
        <v>128.0</v>
      </c>
      <c r="CC200" s="101">
        <f>0.447*$W$45*$W$143*MIN(0.8*CB200,$W$142)+SUMPRODUCT($BO$25:$BO$36,(ABS((2000000*0.003*(CB200-$BN$25:$BN$36)/CB200)+$W$146)-ABS((2000000*0.003*(CB200-$BN$25:$BN$36)/CB200)-$W$146))/2)-$W$139*1000</f>
        <v>625506.246138655</v>
      </c>
      <c r="CD200" s="101">
        <f>(0.447*$W$45*$W$143*MIN(0.8*CB200,$W$142)*($W$142/2-MIN(0.8*CB200,$W$142)/2)+SUMPRODUCT($BO$25:$BO$36,(ABS((2000000*0.003*(CB200-$BN$25:$BN$36)/CB200)+$W$146)-ABS((2000000*0.003*(CB200-$BN$25:$BN$36)/CB200)-$W$146))/2,($W$142/2-$BN$25:$BN$36)))/100000</f>
        <v>2.24963385283834</v>
      </c>
      <c r="CE200" s="101">
        <f>IF(AND(CC199&lt;0,CC200&gt;=0),CA200,"")</f>
        <v/>
      </c>
    </row>
    <row r="201">
      <c r="CA201" t="n">
        <v>161</v>
      </c>
      <c r="CB201" s="101">
        <f>2*$W$142*CA201/200</f>
        <v>128.8</v>
      </c>
      <c r="CC201" s="101">
        <f>0.447*$W$45*$W$143*MIN(0.8*CB201,$W$142)+SUMPRODUCT($BO$25:$BO$36,(ABS((2000000*0.003*(CB201-$BN$25:$BN$36)/CB201)+$W$146)-ABS((2000000*0.003*(CB201-$BN$25:$BN$36)/CB201)-$W$146))/2)-$W$139*1000</f>
        <v>625763.349398306</v>
      </c>
      <c r="CD201" s="101">
        <f>(0.447*$W$45*$W$143*MIN(0.8*CB201,$W$142)*($W$142/2-MIN(0.8*CB201,$W$142)/2)+SUMPRODUCT($BO$25:$BO$36,(ABS((2000000*0.003*(CB201-$BN$25:$BN$36)/CB201)+$W$146)-ABS((2000000*0.003*(CB201-$BN$25:$BN$36)/CB201)-$W$146))/2,($W$142/2-$BN$25:$BN$36)))/100000</f>
        <v>2.16427557063444</v>
      </c>
      <c r="CE201" s="101">
        <f>IF(AND(CC200&lt;0,CC201&gt;=0),CA201,"")</f>
        <v/>
      </c>
    </row>
    <row r="202">
      <c r="CA202" t="n">
        <v>162</v>
      </c>
      <c r="CB202" s="101">
        <f>2*$W$142*CA202/200</f>
        <v>129.6</v>
      </c>
      <c r="CC202" s="101">
        <f>0.447*$W$45*$W$143*MIN(0.8*CB202,$W$142)+SUMPRODUCT($BO$25:$BO$36,(ABS((2000000*0.003*(CB202-$BN$25:$BN$36)/CB202)+$W$146)-ABS((2000000*0.003*(CB202-$BN$25:$BN$36)/CB202)-$W$146))/2)-$W$139*1000</f>
        <v>626017.278543639</v>
      </c>
      <c r="CD202" s="101">
        <f>(0.447*$W$45*$W$143*MIN(0.8*CB202,$W$142)*($W$142/2-MIN(0.8*CB202,$W$142)/2)+SUMPRODUCT($BO$25:$BO$36,(ABS((2000000*0.003*(CB202-$BN$25:$BN$36)/CB202)+$W$146)-ABS((2000000*0.003*(CB202-$BN$25:$BN$36)/CB202)-$W$146))/2,($W$142/2-$BN$25:$BN$36)))/100000</f>
        <v>2.07997109438367</v>
      </c>
      <c r="CE202" s="101">
        <f>IF(AND(CC201&lt;0,CC202&gt;=0),CA202,"")</f>
        <v/>
      </c>
    </row>
    <row r="203">
      <c r="CA203" t="n">
        <v>163</v>
      </c>
      <c r="CB203" s="101">
        <f>2*$W$142*CA203/200</f>
        <v>130.4</v>
      </c>
      <c r="CC203" s="101">
        <f>0.447*$W$45*$W$143*MIN(0.8*CB203,$W$142)+SUMPRODUCT($BO$25:$BO$36,(ABS((2000000*0.003*(CB203-$BN$25:$BN$36)/CB203)+$W$146)-ABS((2000000*0.003*(CB203-$BN$25:$BN$36)/CB203)-$W$146))/2)-$W$139*1000</f>
        <v>626268.091993938</v>
      </c>
      <c r="CD203" s="101">
        <f>(0.447*$W$45*$W$143*MIN(0.8*CB203,$W$142)*($W$142/2-MIN(0.8*CB203,$W$142)/2)+SUMPRODUCT($BO$25:$BO$36,(ABS((2000000*0.003*(CB203-$BN$25:$BN$36)/CB203)+$W$146)-ABS((2000000*0.003*(CB203-$BN$25:$BN$36)/CB203)-$W$146))/2,($W$142/2-$BN$25:$BN$36)))/100000</f>
        <v>1.99670102888445</v>
      </c>
      <c r="CE203" s="101">
        <f>IF(AND(CC202&lt;0,CC203&gt;=0),CA203,"")</f>
        <v/>
      </c>
    </row>
    <row r="204">
      <c r="CA204" t="n">
        <v>164</v>
      </c>
      <c r="CB204" s="101">
        <f>2*$W$142*CA204/200</f>
        <v>131.2</v>
      </c>
      <c r="CC204" s="101">
        <f>0.447*$W$45*$W$143*MIN(0.8*CB204,$W$142)+SUMPRODUCT($BO$25:$BO$36,(ABS((2000000*0.003*(CB204-$BN$25:$BN$36)/CB204)+$W$146)-ABS((2000000*0.003*(CB204-$BN$25:$BN$36)/CB204)-$W$146))/2)-$W$139*1000</f>
        <v>626515.846743624</v>
      </c>
      <c r="CD204" s="101">
        <f>(0.447*$W$45*$W$143*MIN(0.8*CB204,$W$142)*($W$142/2-MIN(0.8*CB204,$W$142)/2)+SUMPRODUCT($BO$25:$BO$36,(ABS((2000000*0.003*(CB204-$BN$25:$BN$36)/CB204)+$W$146)-ABS((2000000*0.003*(CB204-$BN$25:$BN$36)/CB204)-$W$146))/2,($W$142/2-$BN$25:$BN$36)))/100000</f>
        <v>1.91444645198888</v>
      </c>
      <c r="CE204" s="101">
        <f>IF(AND(CC203&lt;0,CC204&gt;=0),CA204,"")</f>
        <v/>
      </c>
    </row>
    <row r="205">
      <c r="CA205" t="n">
        <v>165</v>
      </c>
      <c r="CB205" s="101">
        <f>2*$W$142*CA205/200</f>
        <v>132.0</v>
      </c>
      <c r="CC205" s="101">
        <f>0.447*$W$45*$W$143*MIN(0.8*CB205,$W$142)+SUMPRODUCT($BO$25:$BO$36,(ABS((2000000*0.003*(CB205-$BN$25:$BN$36)/CB205)+$W$146)-ABS((2000000*0.003*(CB205-$BN$25:$BN$36)/CB205)-$W$146))/2)-$W$139*1000</f>
        <v>626760.598405434</v>
      </c>
      <c r="CD205" s="101">
        <f>(0.447*$W$45*$W$143*MIN(0.8*CB205,$W$142)*($W$142/2-MIN(0.8*CB205,$W$142)/2)+SUMPRODUCT($BO$25:$BO$36,(ABS((2000000*0.003*(CB205-$BN$25:$BN$36)/CB205)+$W$146)-ABS((2000000*0.003*(CB205-$BN$25:$BN$36)/CB205)-$W$146))/2,($W$142/2-$BN$25:$BN$36)))/100000</f>
        <v>1.8331889002678</v>
      </c>
      <c r="CE205" s="101">
        <f>IF(AND(CC204&lt;0,CC205&gt;=0),CA205,"")</f>
        <v/>
      </c>
    </row>
    <row r="206">
      <c r="CA206" t="n">
        <v>166</v>
      </c>
      <c r="CB206" s="101">
        <f>2*$W$142*CA206/200</f>
        <v>132.8</v>
      </c>
      <c r="CC206" s="101">
        <f>0.447*$W$45*$W$143*MIN(0.8*CB206,$W$142)+SUMPRODUCT($BO$25:$BO$36,(ABS((2000000*0.003*(CB206-$BN$25:$BN$36)/CB206)+$W$146)-ABS((2000000*0.003*(CB206-$BN$25:$BN$36)/CB206)-$W$146))/2)-$W$139*1000</f>
        <v>627002.401252042</v>
      </c>
      <c r="CD206" s="101">
        <f>(0.447*$W$45*$W$143*MIN(0.8*CB206,$W$142)*($W$142/2-MIN(0.8*CB206,$W$142)/2)+SUMPRODUCT($BO$25:$BO$36,(ABS((2000000*0.003*(CB206-$BN$25:$BN$36)/CB206)+$W$146)-ABS((2000000*0.003*(CB206-$BN$25:$BN$36)/CB206)-$W$146))/2,($W$142/2-$BN$25:$BN$36)))/100000</f>
        <v>1.75291035519395</v>
      </c>
      <c r="CE206" s="101">
        <f>IF(AND(CC205&lt;0,CC206&gt;=0),CA206,"")</f>
        <v/>
      </c>
    </row>
    <row r="207">
      <c r="CA207" t="n">
        <v>167</v>
      </c>
      <c r="CB207" s="101">
        <f>2*$W$142*CA207/200</f>
        <v>133.6</v>
      </c>
      <c r="CC207" s="101">
        <f>0.447*$W$45*$W$143*MIN(0.8*CB207,$W$142)+SUMPRODUCT($BO$25:$BO$36,(ABS((2000000*0.003*(CB207-$BN$25:$BN$36)/CB207)+$W$146)-ABS((2000000*0.003*(CB207-$BN$25:$BN$36)/CB207)-$W$146))/2)-$W$139*1000</f>
        <v>627241.308256176</v>
      </c>
      <c r="CD207" s="101">
        <f>(0.447*$W$45*$W$143*MIN(0.8*CB207,$W$142)*($W$142/2-MIN(0.8*CB207,$W$142)/2)+SUMPRODUCT($BO$25:$BO$36,(ABS((2000000*0.003*(CB207-$BN$25:$BN$36)/CB207)+$W$146)-ABS((2000000*0.003*(CB207-$BN$25:$BN$36)/CB207)-$W$146))/2,($W$142/2-$BN$25:$BN$36)))/100000</f>
        <v>1.67359322982159</v>
      </c>
      <c r="CE207" s="101">
        <f>IF(AND(CC206&lt;0,CC207&gt;=0),CA207,"")</f>
        <v/>
      </c>
    </row>
    <row r="208">
      <c r="CA208" t="n">
        <v>168</v>
      </c>
      <c r="CB208" s="101">
        <f>2*$W$142*CA208/200</f>
        <v>134.4</v>
      </c>
      <c r="CC208" s="101">
        <f>0.447*$W$45*$W$143*MIN(0.8*CB208,$W$142)+SUMPRODUCT($BO$25:$BO$36,(ABS((2000000*0.003*(CB208-$BN$25:$BN$36)/CB208)+$W$146)-ABS((2000000*0.003*(CB208-$BN$25:$BN$36)/CB208)-$W$146))/2)-$W$139*1000</f>
        <v>627477.371129308</v>
      </c>
      <c r="CD208" s="101">
        <f>(0.447*$W$45*$W$143*MIN(0.8*CB208,$W$142)*($W$142/2-MIN(0.8*CB208,$W$142)/2)+SUMPRODUCT($BO$25:$BO$36,(ABS((2000000*0.003*(CB208-$BN$25:$BN$36)/CB208)+$W$146)-ABS((2000000*0.003*(CB208-$BN$25:$BN$36)/CB208)-$W$146))/2,($W$142/2-$BN$25:$BN$36)))/100000</f>
        <v>1.59522035594177</v>
      </c>
      <c r="CE208" s="101">
        <f>IF(AND(CC207&lt;0,CC208&gt;=0),CA208,"")</f>
        <v/>
      </c>
    </row>
    <row r="209">
      <c r="CA209" t="n">
        <v>169</v>
      </c>
      <c r="CB209" s="101">
        <f>2*$W$142*CA209/200</f>
        <v>135.2</v>
      </c>
      <c r="CC209" s="101">
        <f>0.447*$W$45*$W$143*MIN(0.8*CB209,$W$142)+SUMPRODUCT($BO$25:$BO$36,(ABS((2000000*0.003*(CB209-$BN$25:$BN$36)/CB209)+$W$146)-ABS((2000000*0.003*(CB209-$BN$25:$BN$36)/CB209)-$W$146))/2)-$W$139*1000</f>
        <v>627710.640358971</v>
      </c>
      <c r="CD209" s="101">
        <f>(0.447*$W$45*$W$143*MIN(0.8*CB209,$W$142)*($W$142/2-MIN(0.8*CB209,$W$142)/2)+SUMPRODUCT($BO$25:$BO$36,(ABS((2000000*0.003*(CB209-$BN$25:$BN$36)/CB209)+$W$146)-ABS((2000000*0.003*(CB209-$BN$25:$BN$36)/CB209)-$W$146))/2,($W$142/2-$BN$25:$BN$36)))/100000</f>
        <v>1.51777497169365</v>
      </c>
      <c r="CE209" s="101">
        <f>IF(AND(CC208&lt;0,CC209&gt;=0),CA209,"")</f>
        <v/>
      </c>
    </row>
    <row r="210">
      <c r="CA210" t="n">
        <v>170</v>
      </c>
      <c r="CB210" s="101">
        <f>2*$W$142*CA210/200</f>
        <v>136.0</v>
      </c>
      <c r="CC210" s="101">
        <f>0.447*$W$45*$W$143*MIN(0.8*CB210,$W$142)+SUMPRODUCT($BO$25:$BO$36,(ABS((2000000*0.003*(CB210-$BN$25:$BN$36)/CB210)+$W$146)-ABS((2000000*0.003*(CB210-$BN$25:$BN$36)/CB210)-$W$146))/2)-$W$139*1000</f>
        <v>627941.165244755</v>
      </c>
      <c r="CD210" s="101">
        <f>(0.447*$W$45*$W$143*MIN(0.8*CB210,$W$142)*($W$142/2-MIN(0.8*CB210,$W$142)/2)+SUMPRODUCT($BO$25:$BO$36,(ABS((2000000*0.003*(CB210-$BN$25:$BN$36)/CB210)+$W$146)-ABS((2000000*0.003*(CB210-$BN$25:$BN$36)/CB210)-$W$146))/2,($W$142/2-$BN$25:$BN$36)))/100000</f>
        <v>1.44124070961316</v>
      </c>
      <c r="CE210" s="101">
        <f>IF(AND(CC209&lt;0,CC210&gt;=0),CA210,"")</f>
        <v/>
      </c>
    </row>
    <row r="211">
      <c r="CA211" t="n">
        <v>171</v>
      </c>
      <c r="CB211" s="101">
        <f>2*$W$142*CA211/200</f>
        <v>136.8</v>
      </c>
      <c r="CC211" s="101">
        <f>0.447*$W$45*$W$143*MIN(0.8*CB211,$W$142)+SUMPRODUCT($BO$25:$BO$36,(ABS((2000000*0.003*(CB211-$BN$25:$BN$36)/CB211)+$W$146)-ABS((2000000*0.003*(CB211-$BN$25:$BN$36)/CB211)-$W$146))/2)-$W$139*1000</f>
        <v>628168.993933045</v>
      </c>
      <c r="CD211" s="101">
        <f>(0.447*$W$45*$W$143*MIN(0.8*CB211,$W$142)*($W$142/2-MIN(0.8*CB211,$W$142)/2)+SUMPRODUCT($BO$25:$BO$36,(ABS((2000000*0.003*(CB211-$BN$25:$BN$36)/CB211)+$W$146)-ABS((2000000*0.003*(CB211-$BN$25:$BN$36)/CB211)-$W$146))/2,($W$142/2-$BN$25:$BN$36)))/100000</f>
        <v>1.36560158510086</v>
      </c>
      <c r="CE211" s="101">
        <f>IF(AND(CC210&lt;0,CC211&gt;=0),CA211,"")</f>
        <v/>
      </c>
    </row>
    <row r="212">
      <c r="CA212" t="n">
        <v>172</v>
      </c>
      <c r="CB212" s="101">
        <f>2*$W$142*CA212/200</f>
        <v>137.6</v>
      </c>
      <c r="CC212" s="101">
        <f>0.447*$W$45*$W$143*MIN(0.8*CB212,$W$142)+SUMPRODUCT($BO$25:$BO$36,(ABS((2000000*0.003*(CB212-$BN$25:$BN$36)/CB212)+$W$146)-ABS((2000000*0.003*(CB212-$BN$25:$BN$36)/CB212)-$W$146))/2)-$W$139*1000</f>
        <v>628394.173450541</v>
      </c>
      <c r="CD212" s="101">
        <f>(0.447*$W$45*$W$143*MIN(0.8*CB212,$W$142)*($W$142/2-MIN(0.8*CB212,$W$142)/2)+SUMPRODUCT($BO$25:$BO$36,(ABS((2000000*0.003*(CB212-$BN$25:$BN$36)/CB212)+$W$146)-ABS((2000000*0.003*(CB212-$BN$25:$BN$36)/CB212)-$W$146))/2,($W$142/2-$BN$25:$BN$36)))/100000</f>
        <v>1.29084198529219</v>
      </c>
      <c r="CE212" s="101">
        <f>IF(AND(CC211&lt;0,CC212&gt;=0),CA212,"")</f>
        <v/>
      </c>
    </row>
    <row r="213">
      <c r="CA213" t="n">
        <v>173</v>
      </c>
      <c r="CB213" s="101">
        <f>2*$W$142*CA213/200</f>
        <v>138.4</v>
      </c>
      <c r="CC213" s="101">
        <f>0.447*$W$45*$W$143*MIN(0.8*CB213,$W$142)+SUMPRODUCT($BO$25:$BO$36,(ABS((2000000*0.003*(CB213-$BN$25:$BN$36)/CB213)+$W$146)-ABS((2000000*0.003*(CB213-$BN$25:$BN$36)/CB213)-$W$146))/2)-$W$139*1000</f>
        <v>628616.749736621</v>
      </c>
      <c r="CD213" s="101">
        <f>(0.447*$W$45*$W$143*MIN(0.8*CB213,$W$142)*($W$142/2-MIN(0.8*CB213,$W$142)/2)+SUMPRODUCT($BO$25:$BO$36,(ABS((2000000*0.003*(CB213-$BN$25:$BN$36)/CB213)+$W$146)-ABS((2000000*0.003*(CB213-$BN$25:$BN$36)/CB213)-$W$146))/2,($W$142/2-$BN$25:$BN$36)))/100000</f>
        <v>1.21694665831368</v>
      </c>
      <c r="CE213" s="101">
        <f>IF(AND(CC212&lt;0,CC213&gt;=0),CA213,"")</f>
        <v/>
      </c>
    </row>
    <row r="214">
      <c r="CA214" t="n">
        <v>174</v>
      </c>
      <c r="CB214" s="101">
        <f>2*$W$142*CA214/200</f>
        <v>139.2</v>
      </c>
      <c r="CC214" s="101">
        <f>0.447*$W$45*$W$143*MIN(0.8*CB214,$W$142)+SUMPRODUCT($BO$25:$BO$36,(ABS((2000000*0.003*(CB214-$BN$25:$BN$36)/CB214)+$W$146)-ABS((2000000*0.003*(CB214-$BN$25:$BN$36)/CB214)-$W$146))/2)-$W$139*1000</f>
        <v>628836.767674585</v>
      </c>
      <c r="CD214" s="101">
        <f>(0.447*$W$45*$W$143*MIN(0.8*CB214,$W$142)*($W$142/2-MIN(0.8*CB214,$W$142)/2)+SUMPRODUCT($BO$25:$BO$36,(ABS((2000000*0.003*(CB214-$BN$25:$BN$36)/CB214)+$W$146)-ABS((2000000*0.003*(CB214-$BN$25:$BN$36)/CB214)-$W$146))/2,($W$142/2-$BN$25:$BN$36)))/100000</f>
        <v>1.14390070290964</v>
      </c>
      <c r="CE214" s="101">
        <f>IF(AND(CC213&lt;0,CC214&gt;=0),CA214,"")</f>
        <v/>
      </c>
    </row>
    <row r="215">
      <c r="CA215" t="n">
        <v>175</v>
      </c>
      <c r="CB215" s="101">
        <f>2*$W$142*CA215/200</f>
        <v>140.0</v>
      </c>
      <c r="CC215" s="101">
        <f>0.447*$W$45*$W$143*MIN(0.8*CB215,$W$142)+SUMPRODUCT($BO$25:$BO$36,(ABS((2000000*0.003*(CB215-$BN$25:$BN$36)/CB215)+$W$146)-ABS((2000000*0.003*(CB215-$BN$25:$BN$36)/CB215)-$W$146))/2)-$W$139*1000</f>
        <v>629054.27112183</v>
      </c>
      <c r="CD215" s="101">
        <f>(0.447*$W$45*$W$143*MIN(0.8*CB215,$W$142)*($W$142/2-MIN(0.8*CB215,$W$142)/2)+SUMPRODUCT($BO$25:$BO$36,(ABS((2000000*0.003*(CB215-$BN$25:$BN$36)/CB215)+$W$146)-ABS((2000000*0.003*(CB215-$BN$25:$BN$36)/CB215)-$W$146))/2,($W$142/2-$BN$25:$BN$36)))/100000</f>
        <v>1.0716895584245</v>
      </c>
      <c r="CE215" s="101">
        <f>IF(AND(CC214&lt;0,CC215&gt;=0),CA215,"")</f>
        <v/>
      </c>
    </row>
    <row r="216">
      <c r="CA216" t="n">
        <v>176</v>
      </c>
      <c r="CB216" s="101">
        <f>2*$W$142*CA216/200</f>
        <v>140.8</v>
      </c>
      <c r="CC216" s="101">
        <f>0.447*$W$45*$W$143*MIN(0.8*CB216,$W$142)+SUMPRODUCT($BO$25:$BO$36,(ABS((2000000*0.003*(CB216-$BN$25:$BN$36)/CB216)+$W$146)-ABS((2000000*0.003*(CB216-$BN$25:$BN$36)/CB216)-$W$146))/2)-$W$139*1000</f>
        <v>629269.302938992</v>
      </c>
      <c r="CD216" s="101">
        <f>(0.447*$W$45*$W$143*MIN(0.8*CB216,$W$142)*($W$142/2-MIN(0.8*CB216,$W$142)/2)+SUMPRODUCT($BO$25:$BO$36,(ABS((2000000*0.003*(CB216-$BN$25:$BN$36)/CB216)+$W$146)-ABS((2000000*0.003*(CB216-$BN$25:$BN$36)/CB216)-$W$146))/2,($W$142/2-$BN$25:$BN$36)))/100000</f>
        <v>1.00029899512669</v>
      </c>
      <c r="CE216" s="101">
        <f>IF(AND(CC215&lt;0,CC216&gt;=0),CA216,"")</f>
        <v/>
      </c>
    </row>
    <row r="217">
      <c r="CA217" t="n">
        <v>177</v>
      </c>
      <c r="CB217" s="101">
        <f>2*$W$142*CA217/200</f>
        <v>141.6</v>
      </c>
      <c r="CC217" s="101">
        <f>0.447*$W$45*$W$143*MIN(0.8*CB217,$W$142)+SUMPRODUCT($BO$25:$BO$36,(ABS((2000000*0.003*(CB217-$BN$25:$BN$36)/CB217)+$W$146)-ABS((2000000*0.003*(CB217-$BN$25:$BN$36)/CB217)-$W$146))/2)-$W$139*1000</f>
        <v>629481.905018107</v>
      </c>
      <c r="CD217" s="101">
        <f>(0.447*$W$45*$W$143*MIN(0.8*CB217,$W$142)*($W$142/2-MIN(0.8*CB217,$W$142)/2)+SUMPRODUCT($BO$25:$BO$36,(ABS((2000000*0.003*(CB217-$BN$25:$BN$36)/CB217)+$W$146)-ABS((2000000*0.003*(CB217-$BN$25:$BN$36)/CB217)-$W$146))/2,($W$142/2-$BN$25:$BN$36)))/100000</f>
        <v>0.929715104860498</v>
      </c>
      <c r="CE217" s="101">
        <f>IF(AND(CC216&lt;0,CC217&gt;=0),CA217,"")</f>
        <v/>
      </c>
    </row>
    <row r="218">
      <c r="CA218" t="n">
        <v>178</v>
      </c>
      <c r="CB218" s="101">
        <f>2*$W$142*CA218/200</f>
        <v>142.4</v>
      </c>
      <c r="CC218" s="101">
        <f>0.447*$W$45*$W$143*MIN(0.8*CB218,$W$142)+SUMPRODUCT($BO$25:$BO$36,(ABS((2000000*0.003*(CB218-$BN$25:$BN$36)/CB218)+$W$146)-ABS((2000000*0.003*(CB218-$BN$25:$BN$36)/CB218)-$W$146))/2)-$W$139*1000</f>
        <v>629692.118309816</v>
      </c>
      <c r="CD218" s="101">
        <f>(0.447*$W$45*$W$143*MIN(0.8*CB218,$W$142)*($W$142/2-MIN(0.8*CB218,$W$142)/2)+SUMPRODUCT($BO$25:$BO$36,(ABS((2000000*0.003*(CB218-$BN$25:$BN$36)/CB218)+$W$146)-ABS((2000000*0.003*(CB218-$BN$25:$BN$36)/CB218)-$W$146))/2,($W$142/2-$BN$25:$BN$36)))/100000</f>
        <v>0.859924292013023</v>
      </c>
      <c r="CE218" s="101">
        <f>IF(AND(CC217&lt;0,CC218&gt;=0),CA218,"")</f>
        <v/>
      </c>
    </row>
    <row r="219">
      <c r="CA219" t="n">
        <v>179</v>
      </c>
      <c r="CB219" s="101">
        <f>2*$W$142*CA219/200</f>
        <v>143.2</v>
      </c>
      <c r="CC219" s="101">
        <f>0.447*$W$45*$W$143*MIN(0.8*CB219,$W$142)+SUMPRODUCT($BO$25:$BO$36,(ABS((2000000*0.003*(CB219-$BN$25:$BN$36)/CB219)+$W$146)-ABS((2000000*0.003*(CB219-$BN$25:$BN$36)/CB219)-$W$146))/2)-$W$139*1000</f>
        <v>629899.982849662</v>
      </c>
      <c r="CD219" s="101">
        <f>(0.447*$W$45*$W$143*MIN(0.8*CB219,$W$142)*($W$142/2-MIN(0.8*CB219,$W$142)/2)+SUMPRODUCT($BO$25:$BO$36,(ABS((2000000*0.003*(CB219-$BN$25:$BN$36)/CB219)+$W$146)-ABS((2000000*0.003*(CB219-$BN$25:$BN$36)/CB219)-$W$146))/2,($W$142/2-$BN$25:$BN$36)))/100000</f>
        <v>0.790913264783963</v>
      </c>
      <c r="CE219" s="101">
        <f>IF(AND(CC218&lt;0,CC219&gt;=0),CA219,"")</f>
        <v/>
      </c>
    </row>
    <row r="220">
      <c r="CA220" t="n">
        <v>180</v>
      </c>
      <c r="CB220" s="101">
        <f>2*$W$142*CA220/200</f>
        <v>144.0</v>
      </c>
      <c r="CC220" s="101">
        <f>0.447*$W$45*$W$143*MIN(0.8*CB220,$W$142)+SUMPRODUCT($BO$25:$BO$36,(ABS((2000000*0.003*(CB220-$BN$25:$BN$36)/CB220)+$W$146)-ABS((2000000*0.003*(CB220-$BN$25:$BN$36)/CB220)-$W$146))/2)-$W$139*1000</f>
        <v>630105.537783511</v>
      </c>
      <c r="CD220" s="101">
        <f>(0.447*$W$45*$W$143*MIN(0.8*CB220,$W$142)*($W$142/2-MIN(0.8*CB220,$W$142)/2)+SUMPRODUCT($BO$25:$BO$36,(ABS((2000000*0.003*(CB220-$BN$25:$BN$36)/CB220)+$W$146)-ABS((2000000*0.003*(CB220-$BN$25:$BN$36)/CB220)-$W$146))/2,($W$142/2-$BN$25:$BN$36)))/100000</f>
        <v>0.722669026746328</v>
      </c>
      <c r="CE220" s="101">
        <f>IF(AND(CC219&lt;0,CC220&gt;=0),CA220,"")</f>
        <v/>
      </c>
    </row>
    <row r="221">
      <c r="CA221" t="n">
        <v>181</v>
      </c>
      <c r="CB221" s="101">
        <f>2*$W$142*CA221/200</f>
        <v>144.8</v>
      </c>
      <c r="CC221" s="101">
        <f>0.447*$W$45*$W$143*MIN(0.8*CB221,$W$142)+SUMPRODUCT($BO$25:$BO$36,(ABS((2000000*0.003*(CB221-$BN$25:$BN$36)/CB221)+$W$146)-ABS((2000000*0.003*(CB221-$BN$25:$BN$36)/CB221)-$W$146))/2)-$W$139*1000</f>
        <v>630308.821392123</v>
      </c>
      <c r="CD221" s="101">
        <f>(0.447*$W$45*$W$143*MIN(0.8*CB221,$W$142)*($W$142/2-MIN(0.8*CB221,$W$142)/2)+SUMPRODUCT($BO$25:$BO$36,(ABS((2000000*0.003*(CB221-$BN$25:$BN$36)/CB221)+$W$146)-ABS((2000000*0.003*(CB221-$BN$25:$BN$36)/CB221)-$W$146))/2,($W$142/2-$BN$25:$BN$36)))/100000</f>
        <v>0.655178868687011</v>
      </c>
      <c r="CE221" s="101">
        <f>IF(AND(CC220&lt;0,CC221&gt;=0),CA221,"")</f>
        <v/>
      </c>
    </row>
    <row r="222">
      <c r="CA222" t="n">
        <v>182</v>
      </c>
      <c r="CB222" s="101">
        <f>2*$W$142*CA222/200</f>
        <v>145.6</v>
      </c>
      <c r="CC222" s="101">
        <f>0.447*$W$45*$W$143*MIN(0.8*CB222,$W$142)+SUMPRODUCT($BO$25:$BO$36,(ABS((2000000*0.003*(CB222-$BN$25:$BN$36)/CB222)+$W$146)-ABS((2000000*0.003*(CB222-$BN$25:$BN$36)/CB222)-$W$146))/2)-$W$139*1000</f>
        <v>630509.871114927</v>
      </c>
      <c r="CD222" s="101">
        <f>(0.447*$W$45*$W$143*MIN(0.8*CB222,$W$142)*($W$142/2-MIN(0.8*CB222,$W$142)/2)+SUMPRODUCT($BO$25:$BO$36,(ABS((2000000*0.003*(CB222-$BN$25:$BN$36)/CB222)+$W$146)-ABS((2000000*0.003*(CB222-$BN$25:$BN$36)/CB222)-$W$146))/2,($W$142/2-$BN$25:$BN$36)))/100000</f>
        <v>0.588430360716262</v>
      </c>
      <c r="CE222" s="101">
        <f>IF(AND(CC221&lt;0,CC222&gt;=0),CA222,"")</f>
        <v/>
      </c>
    </row>
    <row r="223">
      <c r="CA223" t="n">
        <v>183</v>
      </c>
      <c r="CB223" s="101">
        <f>2*$W$142*CA223/200</f>
        <v>146.4</v>
      </c>
      <c r="CC223" s="101">
        <f>0.447*$W$45*$W$143*MIN(0.8*CB223,$W$142)+SUMPRODUCT($BO$25:$BO$36,(ABS((2000000*0.003*(CB223-$BN$25:$BN$36)/CB223)+$W$146)-ABS((2000000*0.003*(CB223-$BN$25:$BN$36)/CB223)-$W$146))/2)-$W$139*1000</f>
        <v>630708.723573</v>
      </c>
      <c r="CD223" s="101">
        <f>(0.447*$W$45*$W$143*MIN(0.8*CB223,$W$142)*($W$142/2-MIN(0.8*CB223,$W$142)/2)+SUMPRODUCT($BO$25:$BO$36,(ABS((2000000*0.003*(CB223-$BN$25:$BN$36)/CB223)+$W$146)-ABS((2000000*0.003*(CB223-$BN$25:$BN$36)/CB223)-$W$146))/2,($W$142/2-$BN$25:$BN$36)))/100000</f>
        <v>0.522411344635898</v>
      </c>
      <c r="CE223" s="101">
        <f>IF(AND(CC222&lt;0,CC223&gt;=0),CA223,"")</f>
        <v/>
      </c>
    </row>
    <row r="224">
      <c r="CA224" t="n">
        <v>184</v>
      </c>
      <c r="CB224" s="101">
        <f>2*$W$142*CA224/200</f>
        <v>147.2</v>
      </c>
      <c r="CC224" s="101">
        <f>0.447*$W$45*$W$143*MIN(0.8*CB224,$W$142)+SUMPRODUCT($BO$25:$BO$36,(ABS((2000000*0.003*(CB224-$BN$25:$BN$36)/CB224)+$W$146)-ABS((2000000*0.003*(CB224-$BN$25:$BN$36)/CB224)-$W$146))/2)-$W$139*1000</f>
        <v>630905.414591312</v>
      </c>
      <c r="CD224" s="101">
        <f>(0.447*$W$45*$W$143*MIN(0.8*CB224,$W$142)*($W$142/2-MIN(0.8*CB224,$W$142)/2)+SUMPRODUCT($BO$25:$BO$36,(ABS((2000000*0.003*(CB224-$BN$25:$BN$36)/CB224)+$W$146)-ABS((2000000*0.003*(CB224-$BN$25:$BN$36)/CB224)-$W$146))/2,($W$142/2-$BN$25:$BN$36)))/100000</f>
        <v>0.457109926556411</v>
      </c>
      <c r="CE224" s="101">
        <f>IF(AND(CC223&lt;0,CC224&gt;=0),CA224,"")</f>
        <v/>
      </c>
    </row>
    <row r="225">
      <c r="CA225" t="n">
        <v>185</v>
      </c>
      <c r="CB225" s="101">
        <f>2*$W$142*CA225/200</f>
        <v>148.0</v>
      </c>
      <c r="CC225" s="101">
        <f>0.447*$W$45*$W$143*MIN(0.8*CB225,$W$142)+SUMPRODUCT($BO$25:$BO$36,(ABS((2000000*0.003*(CB225-$BN$25:$BN$36)/CB225)+$W$146)-ABS((2000000*0.003*(CB225-$BN$25:$BN$36)/CB225)-$W$146))/2)-$W$139*1000</f>
        <v>631099.979220236</v>
      </c>
      <c r="CD225" s="101">
        <f>(0.447*$W$45*$W$143*MIN(0.8*CB225,$W$142)*($W$142/2-MIN(0.8*CB225,$W$142)/2)+SUMPRODUCT($BO$25:$BO$36,(ABS((2000000*0.003*(CB225-$BN$25:$BN$36)/CB225)+$W$146)-ABS((2000000*0.003*(CB225-$BN$25:$BN$36)/CB225)-$W$146))/2,($W$142/2-$BN$25:$BN$36)))/100000</f>
        <v>0.392514469753459</v>
      </c>
      <c r="CE225" s="101">
        <f>IF(AND(CC224&lt;0,CC225&gt;=0),CA225,"")</f>
        <v/>
      </c>
    </row>
    <row r="226">
      <c r="CA226" t="n">
        <v>186</v>
      </c>
      <c r="CB226" s="101">
        <f>2*$W$142*CA226/200</f>
        <v>148.8</v>
      </c>
      <c r="CC226" s="101">
        <f>0.447*$W$45*$W$143*MIN(0.8*CB226,$W$142)+SUMPRODUCT($BO$25:$BO$36,(ABS((2000000*0.003*(CB226-$BN$25:$BN$36)/CB226)+$W$146)-ABS((2000000*0.003*(CB226-$BN$25:$BN$36)/CB226)-$W$146))/2)-$W$139*1000</f>
        <v>631292.451756377</v>
      </c>
      <c r="CD226" s="101">
        <f>(0.447*$W$45*$W$143*MIN(0.8*CB226,$W$142)*($W$142/2-MIN(0.8*CB226,$W$142)/2)+SUMPRODUCT($BO$25:$BO$36,(ABS((2000000*0.003*(CB226-$BN$25:$BN$36)/CB226)+$W$146)-ABS((2000000*0.003*(CB226-$BN$25:$BN$36)/CB226)-$W$146))/2,($W$142/2-$BN$25:$BN$36)))/100000</f>
        <v>0.328613587754839</v>
      </c>
      <c r="CE226" s="101">
        <f>IF(AND(CC225&lt;0,CC226&gt;=0),CA226,"")</f>
        <v/>
      </c>
    </row>
    <row r="227">
      <c r="CA227" t="n">
        <v>187</v>
      </c>
      <c r="CB227" s="101">
        <f>2*$W$142*CA227/200</f>
        <v>149.6</v>
      </c>
      <c r="CC227" s="101">
        <f>0.447*$W$45*$W$143*MIN(0.8*CB227,$W$142)+SUMPRODUCT($BO$25:$BO$36,(ABS((2000000*0.003*(CB227-$BN$25:$BN$36)/CB227)+$W$146)-ABS((2000000*0.003*(CB227-$BN$25:$BN$36)/CB227)-$W$146))/2)-$W$139*1000</f>
        <v>631482.865762719</v>
      </c>
      <c r="CD227" s="101">
        <f>(0.447*$W$45*$W$143*MIN(0.8*CB227,$W$142)*($W$142/2-MIN(0.8*CB227,$W$142)/2)+SUMPRODUCT($BO$25:$BO$36,(ABS((2000000*0.003*(CB227-$BN$25:$BN$36)/CB227)+$W$146)-ABS((2000000*0.003*(CB227-$BN$25:$BN$36)/CB227)-$W$146))/2,($W$142/2-$BN$25:$BN$36)))/100000</f>
        <v>0.265396137649258</v>
      </c>
      <c r="CE227" s="101">
        <f>IF(AND(CC226&lt;0,CC227&gt;=0),CA227,"")</f>
        <v/>
      </c>
    </row>
    <row r="228">
      <c r="CA228" t="n">
        <v>188</v>
      </c>
      <c r="CB228" s="101">
        <f>2*$W$142*CA228/200</f>
        <v>150.4</v>
      </c>
      <c r="CC228" s="101">
        <f>0.447*$W$45*$W$143*MIN(0.8*CB228,$W$142)+SUMPRODUCT($BO$25:$BO$36,(ABS((2000000*0.003*(CB228-$BN$25:$BN$36)/CB228)+$W$146)-ABS((2000000*0.003*(CB228-$BN$25:$BN$36)/CB228)-$W$146))/2)-$W$139*1000</f>
        <v>631671.254088142</v>
      </c>
      <c r="CD228" s="101">
        <f>(0.447*$W$45*$W$143*MIN(0.8*CB228,$W$142)*($W$142/2-MIN(0.8*CB228,$W$142)/2)+SUMPRODUCT($BO$25:$BO$36,(ABS((2000000*0.003*(CB228-$BN$25:$BN$36)/CB228)+$W$146)-ABS((2000000*0.003*(CB228-$BN$25:$BN$36)/CB228)-$W$146))/2,($W$142/2-$BN$25:$BN$36)))/100000</f>
        <v>0.202851213608623</v>
      </c>
      <c r="CE228" s="101">
        <f>IF(AND(CC227&lt;0,CC228&gt;=0),CA228,"")</f>
        <v/>
      </c>
    </row>
    <row r="229">
      <c r="CA229" t="n">
        <v>189</v>
      </c>
      <c r="CB229" s="101">
        <f>2*$W$142*CA229/200</f>
        <v>151.2</v>
      </c>
      <c r="CC229" s="101">
        <f>0.447*$W$45*$W$143*MIN(0.8*CB229,$W$142)+SUMPRODUCT($BO$25:$BO$36,(ABS((2000000*0.003*(CB229-$BN$25:$BN$36)/CB229)+$W$146)-ABS((2000000*0.003*(CB229-$BN$25:$BN$36)/CB229)-$W$146))/2)-$W$139*1000</f>
        <v>631857.648886313</v>
      </c>
      <c r="CD229" s="101">
        <f>(0.447*$W$45*$W$143*MIN(0.8*CB229,$W$142)*($W$142/2-MIN(0.8*CB229,$W$142)/2)+SUMPRODUCT($BO$25:$BO$36,(ABS((2000000*0.003*(CB229-$BN$25:$BN$36)/CB229)+$W$146)-ABS((2000000*0.003*(CB229-$BN$25:$BN$36)/CB229)-$W$146))/2,($W$142/2-$BN$25:$BN$36)))/100000</f>
        <v>0.140968140616037</v>
      </c>
      <c r="CE229" s="101">
        <f>IF(AND(CC228&lt;0,CC229&gt;=0),CA229,"")</f>
        <v/>
      </c>
    </row>
    <row r="230">
      <c r="CA230" t="n">
        <v>190</v>
      </c>
      <c r="CB230" s="101">
        <f>2*$W$142*CA230/200</f>
        <v>152.0</v>
      </c>
      <c r="CC230" s="101">
        <f>0.447*$W$45*$W$143*MIN(0.8*CB230,$W$142)+SUMPRODUCT($BO$25:$BO$36,(ABS((2000000*0.003*(CB230-$BN$25:$BN$36)/CB230)+$W$146)-ABS((2000000*0.003*(CB230-$BN$25:$BN$36)/CB230)-$W$146))/2)-$W$139*1000</f>
        <v>632042.081633976</v>
      </c>
      <c r="CD230" s="101">
        <f>(0.447*$W$45*$W$143*MIN(0.8*CB230,$W$142)*($W$142/2-MIN(0.8*CB230,$W$142)/2)+SUMPRODUCT($BO$25:$BO$36,(ABS((2000000*0.003*(CB230-$BN$25:$BN$36)/CB230)+$W$146)-ABS((2000000*0.003*(CB230-$BN$25:$BN$36)/CB230)-$W$146))/2,($W$142/2-$BN$25:$BN$36)))/100000</f>
        <v>0.0797364683917971</v>
      </c>
      <c r="CE230" s="101">
        <f>IF(AND(CC229&lt;0,CC230&gt;=0),CA230,"")</f>
        <v/>
      </c>
    </row>
    <row r="231">
      <c r="CA231" t="n">
        <v>191</v>
      </c>
      <c r="CB231" s="101">
        <f>2*$W$142*CA231/200</f>
        <v>152.8</v>
      </c>
      <c r="CC231" s="101">
        <f>0.447*$W$45*$W$143*MIN(0.8*CB231,$W$142)+SUMPRODUCT($BO$25:$BO$36,(ABS((2000000*0.003*(CB231-$BN$25:$BN$36)/CB231)+$W$146)-ABS((2000000*0.003*(CB231-$BN$25:$BN$36)/CB231)-$W$146))/2)-$W$139*1000</f>
        <v>632224.58314868</v>
      </c>
      <c r="CD231" s="101">
        <f>(0.447*$W$45*$W$143*MIN(0.8*CB231,$W$142)*($W$142/2-MIN(0.8*CB231,$W$142)/2)+SUMPRODUCT($BO$25:$BO$36,(ABS((2000000*0.003*(CB231-$BN$25:$BN$36)/CB231)+$W$146)-ABS((2000000*0.003*(CB231-$BN$25:$BN$36)/CB231)-$W$146))/2,($W$142/2-$BN$25:$BN$36)))/100000</f>
        <v>0.0191459655102171</v>
      </c>
      <c r="CE231" s="101">
        <f>IF(AND(CC230&lt;0,CC231&gt;=0),CA231,"")</f>
        <v/>
      </c>
    </row>
    <row r="232">
      <c r="CA232" t="n">
        <v>192</v>
      </c>
      <c r="CB232" s="101">
        <f>2*$W$142*CA232/200</f>
        <v>153.6</v>
      </c>
      <c r="CC232" s="101">
        <f>0.447*$W$45*$W$143*MIN(0.8*CB232,$W$142)+SUMPRODUCT($BO$25:$BO$36,(ABS((2000000*0.003*(CB232-$BN$25:$BN$36)/CB232)+$W$146)-ABS((2000000*0.003*(CB232-$BN$25:$BN$36)/CB232)-$W$146))/2)-$W$139*1000</f>
        <v>632282.251719494</v>
      </c>
      <c r="CD232" s="101">
        <f>(0.447*$W$45*$W$143*MIN(0.8*CB232,$W$142)*($W$142/2-MIN(0.8*CB232,$W$142)/2)+SUMPRODUCT($BO$25:$BO$36,(ABS((2000000*0.003*(CB232-$BN$25:$BN$36)/CB232)+$W$146)-ABS((2000000*0.003*(CB232-$BN$25:$BN$36)/CB232)-$W$146))/2,($W$142/2-$BN$25:$BN$36)))/100000</f>
        <v>0.0</v>
      </c>
      <c r="CE232" s="101">
        <f>IF(AND(CC231&lt;0,CC232&gt;=0),CA232,"")</f>
        <v/>
      </c>
    </row>
    <row r="233">
      <c r="CA233" t="n">
        <v>193</v>
      </c>
      <c r="CB233" s="101">
        <f>2*$W$142*CA233/200</f>
        <v>154.4</v>
      </c>
      <c r="CC233" s="101">
        <f>0.447*$W$45*$W$143*MIN(0.8*CB233,$W$142)+SUMPRODUCT($BO$25:$BO$36,(ABS((2000000*0.003*(CB233-$BN$25:$BN$36)/CB233)+$W$146)-ABS((2000000*0.003*(CB233-$BN$25:$BN$36)/CB233)-$W$146))/2)-$W$139*1000</f>
        <v>632282.251719494</v>
      </c>
      <c r="CD233" s="101">
        <f>(0.447*$W$45*$W$143*MIN(0.8*CB233,$W$142)*($W$142/2-MIN(0.8*CB233,$W$142)/2)+SUMPRODUCT($BO$25:$BO$36,(ABS((2000000*0.003*(CB233-$BN$25:$BN$36)/CB233)+$W$146)-ABS((2000000*0.003*(CB233-$BN$25:$BN$36)/CB233)-$W$146))/2,($W$142/2-$BN$25:$BN$36)))/100000</f>
        <v>0.0</v>
      </c>
      <c r="CE233" s="101">
        <f>IF(AND(CC232&lt;0,CC233&gt;=0),CA233,"")</f>
        <v/>
      </c>
    </row>
    <row r="234">
      <c r="CA234" t="n">
        <v>194</v>
      </c>
      <c r="CB234" s="101">
        <f>2*$W$142*CA234/200</f>
        <v>155.2</v>
      </c>
      <c r="CC234" s="101">
        <f>0.447*$W$45*$W$143*MIN(0.8*CB234,$W$142)+SUMPRODUCT($BO$25:$BO$36,(ABS((2000000*0.003*(CB234-$BN$25:$BN$36)/CB234)+$W$146)-ABS((2000000*0.003*(CB234-$BN$25:$BN$36)/CB234)-$W$146))/2)-$W$139*1000</f>
        <v>632282.251719494</v>
      </c>
      <c r="CD234" s="101">
        <f>(0.447*$W$45*$W$143*MIN(0.8*CB234,$W$142)*($W$142/2-MIN(0.8*CB234,$W$142)/2)+SUMPRODUCT($BO$25:$BO$36,(ABS((2000000*0.003*(CB234-$BN$25:$BN$36)/CB234)+$W$146)-ABS((2000000*0.003*(CB234-$BN$25:$BN$36)/CB234)-$W$146))/2,($W$142/2-$BN$25:$BN$36)))/100000</f>
        <v>0.0</v>
      </c>
      <c r="CE234" s="101">
        <f>IF(AND(CC233&lt;0,CC234&gt;=0),CA234,"")</f>
        <v/>
      </c>
    </row>
    <row r="235">
      <c r="CA235" t="n">
        <v>195</v>
      </c>
      <c r="CB235" s="101">
        <f>2*$W$142*CA235/200</f>
        <v>156.0</v>
      </c>
      <c r="CC235" s="101">
        <f>0.447*$W$45*$W$143*MIN(0.8*CB235,$W$142)+SUMPRODUCT($BO$25:$BO$36,(ABS((2000000*0.003*(CB235-$BN$25:$BN$36)/CB235)+$W$146)-ABS((2000000*0.003*(CB235-$BN$25:$BN$36)/CB235)-$W$146))/2)-$W$139*1000</f>
        <v>632282.251719494</v>
      </c>
      <c r="CD235" s="101">
        <f>(0.447*$W$45*$W$143*MIN(0.8*CB235,$W$142)*($W$142/2-MIN(0.8*CB235,$W$142)/2)+SUMPRODUCT($BO$25:$BO$36,(ABS((2000000*0.003*(CB235-$BN$25:$BN$36)/CB235)+$W$146)-ABS((2000000*0.003*(CB235-$BN$25:$BN$36)/CB235)-$W$146))/2,($W$142/2-$BN$25:$BN$36)))/100000</f>
        <v>0.0</v>
      </c>
      <c r="CE235" s="101">
        <f>IF(AND(CC234&lt;0,CC235&gt;=0),CA235,"")</f>
        <v/>
      </c>
    </row>
    <row r="236">
      <c r="CA236" t="n">
        <v>196</v>
      </c>
      <c r="CB236" s="101">
        <f>2*$W$142*CA236/200</f>
        <v>156.8</v>
      </c>
      <c r="CC236" s="101">
        <f>0.447*$W$45*$W$143*MIN(0.8*CB236,$W$142)+SUMPRODUCT($BO$25:$BO$36,(ABS((2000000*0.003*(CB236-$BN$25:$BN$36)/CB236)+$W$146)-ABS((2000000*0.003*(CB236-$BN$25:$BN$36)/CB236)-$W$146))/2)-$W$139*1000</f>
        <v>632282.251719494</v>
      </c>
      <c r="CD236" s="101">
        <f>(0.447*$W$45*$W$143*MIN(0.8*CB236,$W$142)*($W$142/2-MIN(0.8*CB236,$W$142)/2)+SUMPRODUCT($BO$25:$BO$36,(ABS((2000000*0.003*(CB236-$BN$25:$BN$36)/CB236)+$W$146)-ABS((2000000*0.003*(CB236-$BN$25:$BN$36)/CB236)-$W$146))/2,($W$142/2-$BN$25:$BN$36)))/100000</f>
        <v>0.0</v>
      </c>
      <c r="CE236" s="101">
        <f>IF(AND(CC235&lt;0,CC236&gt;=0),CA236,"")</f>
        <v/>
      </c>
    </row>
    <row r="237">
      <c r="CA237" t="n">
        <v>197</v>
      </c>
      <c r="CB237" s="101">
        <f>2*$W$142*CA237/200</f>
        <v>157.6</v>
      </c>
      <c r="CC237" s="101">
        <f>0.447*$W$45*$W$143*MIN(0.8*CB237,$W$142)+SUMPRODUCT($BO$25:$BO$36,(ABS((2000000*0.003*(CB237-$BN$25:$BN$36)/CB237)+$W$146)-ABS((2000000*0.003*(CB237-$BN$25:$BN$36)/CB237)-$W$146))/2)-$W$139*1000</f>
        <v>632282.251719494</v>
      </c>
      <c r="CD237" s="101">
        <f>(0.447*$W$45*$W$143*MIN(0.8*CB237,$W$142)*($W$142/2-MIN(0.8*CB237,$W$142)/2)+SUMPRODUCT($BO$25:$BO$36,(ABS((2000000*0.003*(CB237-$BN$25:$BN$36)/CB237)+$W$146)-ABS((2000000*0.003*(CB237-$BN$25:$BN$36)/CB237)-$W$146))/2,($W$142/2-$BN$25:$BN$36)))/100000</f>
        <v>0.0</v>
      </c>
      <c r="CE237" s="101">
        <f>IF(AND(CC236&lt;0,CC237&gt;=0),CA237,"")</f>
        <v/>
      </c>
    </row>
    <row r="238">
      <c r="CA238" t="n">
        <v>198</v>
      </c>
      <c r="CB238" s="101">
        <f>2*$W$142*CA238/200</f>
        <v>158.4</v>
      </c>
      <c r="CC238" s="101">
        <f>0.447*$W$45*$W$143*MIN(0.8*CB238,$W$142)+SUMPRODUCT($BO$25:$BO$36,(ABS((2000000*0.003*(CB238-$BN$25:$BN$36)/CB238)+$W$146)-ABS((2000000*0.003*(CB238-$BN$25:$BN$36)/CB238)-$W$146))/2)-$W$139*1000</f>
        <v>632282.251719494</v>
      </c>
      <c r="CD238" s="101">
        <f>(0.447*$W$45*$W$143*MIN(0.8*CB238,$W$142)*($W$142/2-MIN(0.8*CB238,$W$142)/2)+SUMPRODUCT($BO$25:$BO$36,(ABS((2000000*0.003*(CB238-$BN$25:$BN$36)/CB238)+$W$146)-ABS((2000000*0.003*(CB238-$BN$25:$BN$36)/CB238)-$W$146))/2,($W$142/2-$BN$25:$BN$36)))/100000</f>
        <v>0.0</v>
      </c>
      <c r="CE238" s="101">
        <f>IF(AND(CC237&lt;0,CC238&gt;=0),CA238,"")</f>
        <v/>
      </c>
    </row>
    <row r="239">
      <c r="CA239" t="n">
        <v>199</v>
      </c>
      <c r="CB239" s="101">
        <f>2*$W$142*CA239/200</f>
        <v>159.2</v>
      </c>
      <c r="CC239" s="101">
        <f>0.447*$W$45*$W$143*MIN(0.8*CB239,$W$142)+SUMPRODUCT($BO$25:$BO$36,(ABS((2000000*0.003*(CB239-$BN$25:$BN$36)/CB239)+$W$146)-ABS((2000000*0.003*(CB239-$BN$25:$BN$36)/CB239)-$W$146))/2)-$W$139*1000</f>
        <v>632282.251719494</v>
      </c>
      <c r="CD239" s="101">
        <f>(0.447*$W$45*$W$143*MIN(0.8*CB239,$W$142)*($W$142/2-MIN(0.8*CB239,$W$142)/2)+SUMPRODUCT($BO$25:$BO$36,(ABS((2000000*0.003*(CB239-$BN$25:$BN$36)/CB239)+$W$146)-ABS((2000000*0.003*(CB239-$BN$25:$BN$36)/CB239)-$W$146))/2,($W$142/2-$BN$25:$BN$36)))/100000</f>
        <v>0.0</v>
      </c>
      <c r="CE239" s="101">
        <f>IF(AND(CC238&lt;0,CC239&gt;=0),CA239,"")</f>
        <v/>
      </c>
    </row>
    <row r="240">
      <c r="CA240" t="n">
        <v>200</v>
      </c>
      <c r="CB240" s="101">
        <f>2*$W$142*CA240/200</f>
        <v>160.0</v>
      </c>
      <c r="CC240" s="101">
        <f>0.447*$W$45*$W$143*MIN(0.8*CB240,$W$142)+SUMPRODUCT($BO$25:$BO$36,(ABS((2000000*0.003*(CB240-$BN$25:$BN$36)/CB240)+$W$146)-ABS((2000000*0.003*(CB240-$BN$25:$BN$36)/CB240)-$W$146))/2)-$W$139*1000</f>
        <v>632282.251719494</v>
      </c>
      <c r="CD240" s="101">
        <f>(0.447*$W$45*$W$143*MIN(0.8*CB240,$W$142)*($W$142/2-MIN(0.8*CB240,$W$142)/2)+SUMPRODUCT($BO$25:$BO$36,(ABS((2000000*0.003*(CB240-$BN$25:$BN$36)/CB240)+$W$146)-ABS((2000000*0.003*(CB240-$BN$25:$BN$36)/CB240)-$W$146))/2,($W$142/2-$BN$25:$BN$36)))/100000</f>
        <v>0.0</v>
      </c>
      <c r="CE240" s="101">
        <f>IF(AND(CC239&lt;0,CC240&gt;=0),CA240,"")</f>
        <v/>
      </c>
    </row>
  </sheetData>
  <sheetProtection selectLockedCells="0" selectUnlockedCells="0" sheet="1" objects="0" insertRows="1" insertHyperlinks="1" autoFilter="1" scenarios="0" formatColumns="1" deleteColumns="1" insertColumns="1" pivotTables="1" deleteRows="1" formatCells="1" formatRows="1" sort="1" password="F496"/>
  <mergeCells count="78">
    <mergeCell ref="A90:I90"/>
    <mergeCell ref="A88:B88"/>
    <mergeCell ref="L4:T4"/>
    <mergeCell ref="A2:I2"/>
    <mergeCell ref="G79:I79"/>
    <mergeCell ref="P2:T2"/>
    <mergeCell ref="D74:I74"/>
    <mergeCell ref="D82:I82"/>
    <mergeCell ref="D55:I55"/>
    <mergeCell ref="G50:I50"/>
    <mergeCell ref="L3:O3"/>
    <mergeCell ref="A85:B85"/>
    <mergeCell ref="D59:I59"/>
    <mergeCell ref="G52:I52"/>
    <mergeCell ref="D60:I60"/>
    <mergeCell ref="A53:B53"/>
    <mergeCell ref="A49:C49"/>
    <mergeCell ref="A68:B68"/>
    <mergeCell ref="A9:B9"/>
    <mergeCell ref="A87:I87"/>
    <mergeCell ref="M2:O2"/>
    <mergeCell ref="A66:C66"/>
    <mergeCell ref="D10:E10"/>
    <mergeCell ref="D70:I70"/>
    <mergeCell ref="G61:H61"/>
    <mergeCell ref="G78:I78"/>
    <mergeCell ref="A55:C55"/>
    <mergeCell ref="A79:B79"/>
    <mergeCell ref="C4:D4"/>
    <mergeCell ref="G80:I80"/>
    <mergeCell ref="D11:E11"/>
    <mergeCell ref="A89:B89"/>
    <mergeCell ref="G62:H62"/>
    <mergeCell ref="G51:I51"/>
    <mergeCell ref="A13:C13"/>
    <mergeCell ref="A93:I93"/>
    <mergeCell ref="C85:I85"/>
    <mergeCell ref="G56:I56"/>
    <mergeCell ref="D9:E9"/>
    <mergeCell ref="A8:B8"/>
    <mergeCell ref="A92:I92"/>
    <mergeCell ref="A82:C82"/>
    <mergeCell ref="G71:I71"/>
    <mergeCell ref="C84:I84"/>
    <mergeCell ref="P3:T3"/>
    <mergeCell ref="A10:B10"/>
    <mergeCell ref="A1:I1"/>
    <mergeCell ref="A77:B77"/>
    <mergeCell ref="R1:S1"/>
    <mergeCell ref="G53:I53"/>
    <mergeCell ref="G83:I83"/>
    <mergeCell ref="A78:B78"/>
    <mergeCell ref="A22:C22"/>
    <mergeCell ref="A80:B80"/>
    <mergeCell ref="C88:I88"/>
    <mergeCell ref="A57:B57"/>
    <mergeCell ref="A59:C59"/>
    <mergeCell ref="A4:B4"/>
    <mergeCell ref="H77:I77"/>
    <mergeCell ref="H86:I86"/>
    <mergeCell ref="G63:H63"/>
    <mergeCell ref="A70:C70"/>
    <mergeCell ref="D49:I49"/>
    <mergeCell ref="A74:C74"/>
    <mergeCell ref="D66:I66"/>
    <mergeCell ref="A47:I47"/>
    <mergeCell ref="A84:B84"/>
    <mergeCell ref="G76:I76"/>
    <mergeCell ref="C89:I89"/>
    <mergeCell ref="A86:B86"/>
    <mergeCell ref="A44:I44"/>
    <mergeCell ref="G75:I75"/>
    <mergeCell ref="D8:E8"/>
    <mergeCell ref="A64:I64"/>
    <mergeCell ref="B3:D3"/>
    <mergeCell ref="A72:B72"/>
    <mergeCell ref="G67:I67"/>
    <mergeCell ref="M1:O1"/>
  </mergeCells>
  <conditionalFormatting sqref="F53">
    <cfRule type="expression" priority="1" dxfId="2">
      <formula>F53="Un-Safe"</formula>
    </cfRule>
  </conditionalFormatting>
  <conditionalFormatting sqref="F57">
    <cfRule type="expression" priority="2" dxfId="2">
      <formula>F57="Un-Safe"</formula>
    </cfRule>
  </conditionalFormatting>
  <conditionalFormatting sqref="I62">
    <cfRule type="expression" priority="3" dxfId="2">
      <formula>I62="Un-Safe"</formula>
    </cfRule>
  </conditionalFormatting>
  <conditionalFormatting sqref="I63">
    <cfRule type="expression" priority="4" dxfId="2">
      <formula>I63="Un-Safe"</formula>
    </cfRule>
  </conditionalFormatting>
  <conditionalFormatting sqref="F68">
    <cfRule type="expression" priority="5" dxfId="2">
      <formula>F68="Un-Safe"</formula>
    </cfRule>
  </conditionalFormatting>
  <conditionalFormatting sqref="F72">
    <cfRule type="expression" priority="6" dxfId="2">
      <formula>F72="Un-Safe"</formula>
    </cfRule>
  </conditionalFormatting>
  <conditionalFormatting sqref="F78">
    <cfRule type="expression" priority="7" dxfId="2">
      <formula>F78="Un-Safe"</formula>
    </cfRule>
  </conditionalFormatting>
  <conditionalFormatting sqref="F79">
    <cfRule type="expression" priority="8" dxfId="2">
      <formula>F79="Un-Safe"</formula>
    </cfRule>
  </conditionalFormatting>
  <conditionalFormatting sqref="F80">
    <cfRule type="expression" priority="9" dxfId="2">
      <formula>F80="Un-Safe"</formula>
    </cfRule>
  </conditionalFormatting>
  <conditionalFormatting sqref="F11">
    <cfRule type="expression" priority="10" dxfId="2">
      <formula>F11="Un-Safe"</formula>
    </cfRule>
    <cfRule type="expression" priority="11" dxfId="2">
      <formula>$F$11="Check design steps"</formula>
    </cfRule>
  </conditionalFormatting>
  <dataValidations count="4">
    <dataValidation sqref="C8" showDropDown="0" showInputMessage="0" showErrorMessage="0" allowBlank="0" type="list">
      <formula1>"Reinforced,Plain"</formula1>
    </dataValidation>
    <dataValidation sqref="F8" showDropDown="0" showInputMessage="0" showErrorMessage="0" allowBlank="0" type="list">
      <formula1>"36/52,40/60,24/35"</formula1>
    </dataValidation>
    <dataValidation sqref="F9" showDropDown="0" showInputMessage="0" showErrorMessage="0" allowBlank="0" type="list">
      <formula1>"12,16,18,20,22,25,28"</formula1>
    </dataValidation>
    <dataValidation sqref="F10" showDropDown="0" showInputMessage="0" showErrorMessage="0" allowBlank="0" type="list">
      <formula1>"8,10,12,16"</formula1>
    </dataValidation>
  </dataValidations>
  <hyperlinks>
    <hyperlink xmlns:r="http://schemas.openxmlformats.org/officeDocument/2006/relationships" ref="P2" r:id="rId1"/>
    <hyperlink xmlns:r="http://schemas.openxmlformats.org/officeDocument/2006/relationships" ref="L3" r:id="rId2"/>
    <hyperlink xmlns:r="http://schemas.openxmlformats.org/officeDocument/2006/relationships" ref="P3" r:id="rId3"/>
    <hyperlink xmlns:r="http://schemas.openxmlformats.org/officeDocument/2006/relationships" ref="L4" r:id="rId4"/>
  </hyperlinks>
  <pageMargins left="0.4" right="0.4" top="0.5" bottom="0.5" header="0.5" footer="0.5"/>
  <pageSetup orientation="portrait" paperSize="9" fitToHeight="0" fitToWidth="1"/>
  <rowBreaks count="1" manualBreakCount="1">
    <brk id="45" min="0" max="16383" man="1"/>
  </rowBreaks>
  <drawing xmlns:r="http://schemas.openxmlformats.org/officeDocument/2006/relationships" r:id="rId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A27"/>
  <sheetViews>
    <sheetView showGridLines="0" tabSelected="0" workbookViewId="0">
      <selection activeCell="A1" sqref="A1"/>
    </sheetView>
  </sheetViews>
  <sheetFormatPr baseColWidth="8" defaultRowHeight="15"/>
  <cols>
    <col width="92" customWidth="1" style="16" min="1" max="1"/>
  </cols>
  <sheetData>
    <row r="1">
      <c r="A1" s="161" t="inlineStr">
        <is>
          <t>Column Base Plate, Anchor Bolt &amp; Pedestal Design  -  by Eng. Mohamed Mustafa</t>
        </is>
      </c>
    </row>
    <row r="2">
      <c r="A2" s="162" t="inlineStr">
        <is>
          <t>Steel Structures Design Engineer  |  https://mohamedmostafa20-max.github.io/</t>
        </is>
      </c>
    </row>
    <row r="3">
      <c r="A3" s="163" t="inlineStr"/>
    </row>
    <row r="4">
      <c r="A4" s="164" t="inlineStr">
        <is>
          <t>HOW TO USE</t>
        </is>
      </c>
    </row>
    <row r="5" ht="27" customHeight="1" s="16">
      <c r="A5" s="163" t="inlineStr">
        <is>
          <t>Fill the white boxes only - every other cell is calculated and protected. Work from sheet 1 to sheet 3.</t>
        </is>
      </c>
    </row>
    <row r="6" ht="54" customHeight="1" s="16">
      <c r="A6" s="163" t="inlineStr">
        <is>
          <t>1-Base Plate: design method, column section (I / Box / Pipe), base plate, weld, concrete, pedestal size, the column forces N, M (one axis), Vx, Vy and the X / Y of every bolt from the column centre (up to 12 bolts). The sheet finds the force in every bolt (elastic neutral axis with bolt stiffness n·As), adds the prying force, and checks concrete bearing, base plate thickness and the column weld.</t>
        </is>
      </c>
    </row>
    <row r="7" ht="27" customHeight="1" s="16">
      <c r="A7" s="163" t="inlineStr">
        <is>
          <t xml:space="preserve">   Forces Input = IDEA: type T, Vx, Vy of every bolt from IDEA StatiCa (biaxial moments, special cases). Prying is then taken as already included, and plate / weld / bearing are left to IDEA.</t>
        </is>
      </c>
    </row>
    <row r="8" ht="40.5" customHeight="1" s="16">
      <c r="A8" s="163" t="inlineStr">
        <is>
          <t>2-Anchor Bolt: bolt grade, diameter, embedment, anchor shape, bond option and washer steel. The force is the largest (T + Q) from sheet 1, the shear is the largest bolt shear. Washer diameter and thickness are selected automatically.</t>
        </is>
      </c>
    </row>
    <row r="9" ht="27" customHeight="1" s="16">
      <c r="A9" s="163" t="inlineStr">
        <is>
          <t>3-Pedestal: plain / reinforced, pedestal height, cover and bar sizes. All concrete anchorage checks and the pedestal reinforcement are produced, with the summary in the green line at the end.</t>
        </is>
      </c>
    </row>
    <row r="10">
      <c r="A10" s="163" t="inlineStr"/>
    </row>
    <row r="11">
      <c r="A11" s="164" t="inlineStr">
        <is>
          <t>METHOD &amp; REFERENCES</t>
        </is>
      </c>
    </row>
    <row r="12" ht="40.5" customHeight="1" s="16">
      <c r="A12" s="163" t="inlineStr">
        <is>
          <t>- Bolt forces: rigid plate, linear strain. e ≤ L/6 full bearing (q = N/A ± M/Z); tension with the whole plate lifting: bolt-group formula; otherwise the neutral axis c is solved from N = k[Bc²/2 − nAsΣ(di−c)] and M = k[Bc²/2(L/2 − c/3) + nAsΣ(di−c)(di−L/2)], n = Es/Ec, Ec = 4400√fcu.</t>
        </is>
      </c>
    </row>
    <row r="13">
      <c r="A13" s="163" t="inlineStr">
        <is>
          <t>- Prying (ECP 205): Q = T[½ − wt⁴/(30ab²As)] / [(3a/4b + 1)(a/3b + 1) + wt⁴/(6ab²As)], a ≤ 1.25b.</t>
        </is>
      </c>
    </row>
    <row r="14" ht="40.5" customHeight="1" s="16">
      <c r="A14" s="163" t="inlineStr">
        <is>
          <t>- Base plate: t = √(6M / (b·σ)), σ = 0.72Fy (ASD) or 1.35Fy (LRFD, φMp = 0.9Fy t²/4). Bearing side: cantilever m from 0.95h (0.8b minor axis, 0.8D pipe) with the actual pressure diagram, and n with the pressure at the column face. Bolt side: max(T·b − Q·a , Q·a) per width w.</t>
        </is>
      </c>
    </row>
    <row r="15" ht="27" customHeight="1" s="16">
      <c r="A15" s="163" t="inlineStr">
        <is>
          <t>- Concrete bearing under the plate: ASD 70 / 110 kg/cm² (Fcu 250 / 350), LRFD 0.67fcu/1.5, × √(A2/A1) ≤ 2.</t>
        </is>
      </c>
    </row>
    <row r="16" ht="27" customHeight="1" s="16">
      <c r="A16" s="163" t="inlineStr">
        <is>
          <t>- Column weld: line method around the profile, f = √((N/Lw + M/Sw)² + (V/Lw)²)/a ≤ 0.2Fu (ASD) / 0.45Fu (LRFD).</t>
        </is>
      </c>
    </row>
    <row r="17" ht="27" customHeight="1" s="16">
      <c r="A17" s="163" t="inlineStr">
        <is>
          <t>- Bolt steel (ECP 205): tension 0.33Fu (ASD) / 0.75Fu (LRFD), shear 0.25Fu / 0.30Fu, on As = 0.78Ag; interaction (ft/Ft)² + (q/qb)² ≤ 1.</t>
        </is>
      </c>
    </row>
    <row r="18" ht="27" customHeight="1" s="16">
      <c r="A18" s="163" t="inlineStr">
        <is>
          <t>- Washer plate, bond, nut bearing and washer punching: as the original sheet (ECP 203 / ECP 205 / AISC J7).</t>
        </is>
      </c>
    </row>
    <row r="19" ht="54" customHeight="1" s="16">
      <c r="A19" s="163" t="inlineStr">
        <is>
          <t>- Concrete anchorage: ACI 318-19 Ch.17 in SI units, f'c = 0.8fcu, cracked concrete. ASD allowable = φNn / 1.5. Breakout in tension of the bolts in tension (with ψec,N and the hef' rule for 3+ near edges), side-face blowout, breakout in shear (both directions, all shear on the front row), pryout (kcp = 2), interaction (17.8).</t>
        </is>
      </c>
    </row>
    <row r="20" ht="40.5" customHeight="1" s="16">
      <c r="A20" s="163" t="inlineStr">
        <is>
          <t>- Reinforced pedestal: anchor reinforcement As = Tu/(0.75fy) per bolt (17.5.2.1) when the breakout is not enough; top ties for shear As = Vu/(0.75fy) (≥ 3Ø10 / 2Ø12, 10.7.6.1.6). Both are increased when needed so that the tension-shear interaction (17.8) stays ≤ 1.2.</t>
        </is>
      </c>
    </row>
    <row r="21" ht="40.5" customHeight="1" s="16">
      <c r="A21" s="163" t="inlineStr">
        <is>
          <t>- Pedestal section (ECP 203): Mu = M + V·H at the pedestal base, ASD loads × 1.5. Required steel by the big-eccentricity method, then the provided bars are checked by strain compatibility (εcu = 0.003, 0.447fcu, fy/1.15, all bars). Minimum steel 0.8% of Bx·By, bar spacing ≤ 25 cm.</t>
        </is>
      </c>
    </row>
    <row r="22">
      <c r="A22" s="163" t="inlineStr">
        <is>
          <t>- Shear in the anchor bolts is shared equally by all bolts (Column input).</t>
        </is>
      </c>
    </row>
    <row r="23">
      <c r="A23" s="163" t="inlineStr"/>
    </row>
    <row r="24">
      <c r="A24" s="164" t="inlineStr">
        <is>
          <t>DISCLAIMER</t>
        </is>
      </c>
    </row>
    <row r="25" ht="40.5" customHeight="1" s="16">
      <c r="A25" s="163" t="inlineStr">
        <is>
          <t>This workbook is a design aid. The responsible engineer must review every input, assumption and result and confirm them against the governing code before use. No warranty is given for any use of this workbook.</t>
        </is>
      </c>
    </row>
    <row r="26">
      <c r="A26" s="163" t="inlineStr"/>
    </row>
    <row r="27">
      <c r="A27" s="163" t="inlineStr">
        <is>
          <t>Free for engineers to use. Please keep the author name when sharing.</t>
        </is>
      </c>
    </row>
  </sheetData>
  <sheetProtection selectLockedCells="0" selectUnlockedCells="0" sheet="1" objects="0" insertRows="1" insertHyperlinks="1" autoFilter="1" scenarios="0" formatColumns="1" deleteColumns="1" insertColumns="1" pivotTables="1" deleteRows="1" formatCells="1" formatRows="1" sort="1" password="F496"/>
  <hyperlinks>
    <hyperlink xmlns:r="http://schemas.openxmlformats.org/officeDocument/2006/relationships" ref="A2" r:id="rId1"/>
  </hyperlinks>
  <pageMargins left="0.4" right="0.4" top="0.5" bottom="0.5"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Eng. Mohamed Mustafa</dc:creator>
  <dc:title xmlns:dc="http://purl.org/dc/elements/1.1/">Column Base Plate, Anchor Bolt &amp; Pedestal Design</dc:title>
  <dcterms:created xmlns:dcterms="http://purl.org/dc/terms/" xmlns:xsi="http://www.w3.org/2001/XMLSchema-instance" xsi:type="dcterms:W3CDTF">2025-09-29T08:40:36Z</dcterms:created>
  <dcterms:modified xmlns:dcterms="http://purl.org/dc/terms/" xmlns:xsi="http://www.w3.org/2001/XMLSchema-instance" xsi:type="dcterms:W3CDTF">2026-10-07T19:01:46Z</dcterms:modified>
  <cp:lastModifiedBy>Eng. Mohamed Mustafa</cp:lastModifiedBy>
  <cp:lastPrinted>2025-10-07T14:23:26Z</cp:lastPrinted>
</cp:coreProperties>
</file>